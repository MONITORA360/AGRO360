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men Ejecutivo CMM" sheetId="1" state="visible" r:id="rId3"/>
    <sheet name="Inventario y Trazabilidad" sheetId="2" state="visible" r:id="rId4"/>
    <sheet name="Control Lechero y Mastitis" sheetId="3" state="visible" r:id="rId5"/>
    <sheet name="Reproducción y Sanidad" sheetId="4" state="visible" r:id="rId6"/>
    <sheet name="Saneamiento y Agua" sheetId="5" state="visible" r:id="rId7"/>
    <sheet name="Pastos y Alimentación" sheetId="6" state="visible" r:id="rId8"/>
    <sheet name="Control Financier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<sst xmlns="http://schemas.openxmlformats.org/spreadsheetml/2006/main" count="1048" uniqueCount="539">
  <si>
    <t xml:space="preserve">FINCA LA ESPERANZA - MODELO DE GESTIÓN Y CONTROL ANUAL (12 MESES)</t>
  </si>
  <si>
    <t xml:space="preserve">Cuadro de Mando Integral y KPIs Consolidados Anuales | Finca de 15 ha / 55 Animales</t>
  </si>
  <si>
    <t xml:space="preserve">1. PARÁMETROS BASE DE LA FINCA</t>
  </si>
  <si>
    <t xml:space="preserve">2. INDICADORES CLAVE DE DESEMPEÑO (KPIs)</t>
  </si>
  <si>
    <t xml:space="preserve">Parámetro</t>
  </si>
  <si>
    <t xml:space="preserve">Valor</t>
  </si>
  <si>
    <t xml:space="preserve">Unidad</t>
  </si>
  <si>
    <t xml:space="preserve">Descripción / Meta</t>
  </si>
  <si>
    <t xml:space="preserve">Indicador KPI</t>
  </si>
  <si>
    <t xml:space="preserve">Valor Calculado</t>
  </si>
  <si>
    <t xml:space="preserve">Unidad / Meta</t>
  </si>
  <si>
    <t xml:space="preserve">Evaluación Técnica</t>
  </si>
  <si>
    <t xml:space="preserve">Área Total Finca (ha)</t>
  </si>
  <si>
    <t xml:space="preserve">ha</t>
  </si>
  <si>
    <t xml:space="preserve">Área para pastoreo y rotación</t>
  </si>
  <si>
    <t xml:space="preserve">Producción Promedio / Vaca</t>
  </si>
  <si>
    <t xml:space="preserve">L/vaca/día (&gt;= 25.0 L/día)</t>
  </si>
  <si>
    <t xml:space="preserve">Excelente rendimiento individual</t>
  </si>
  <si>
    <t xml:space="preserve">Vacas en Ordeño</t>
  </si>
  <si>
    <t xml:space="preserve">cabezas</t>
  </si>
  <si>
    <t xml:space="preserve">Hato en producción activa</t>
  </si>
  <si>
    <t xml:space="preserve">Carga Animal Total</t>
  </si>
  <si>
    <t xml:space="preserve">UGM/ha (3.0 - 4.0 UGM/ha)</t>
  </si>
  <si>
    <t xml:space="preserve">Alta intensidad en 15 ha</t>
  </si>
  <si>
    <t xml:space="preserve">Vacas Horras / Secas</t>
  </si>
  <si>
    <t xml:space="preserve">Periodo de descanso preparto</t>
  </si>
  <si>
    <t xml:space="preserve">Porcentaje Vacas en Ordeño</t>
  </si>
  <si>
    <t xml:space="preserve">% (&gt;= 80.0%)</t>
  </si>
  <si>
    <t xml:space="preserve">Eficiencia de lactancia hato</t>
  </si>
  <si>
    <t xml:space="preserve">Novillas de Levante</t>
  </si>
  <si>
    <t xml:space="preserve">Reemplazos e inventario joven</t>
  </si>
  <si>
    <t xml:space="preserve">Tasa de Reemplazo / Novillas</t>
  </si>
  <si>
    <t xml:space="preserve">% (&gt;= 60.0%)</t>
  </si>
  <si>
    <t xml:space="preserve">Garantía de autorrenovación</t>
  </si>
  <si>
    <t xml:space="preserve">Terneros Lactantes</t>
  </si>
  <si>
    <t xml:space="preserve">Crías en amamantamiento / balde</t>
  </si>
  <si>
    <t xml:space="preserve">Capacidad Ordeño / Puesto</t>
  </si>
  <si>
    <t xml:space="preserve">vacas/puesto (8 - 10 vacas)</t>
  </si>
  <si>
    <t xml:space="preserve">Eficiencia operativa por turno</t>
  </si>
  <si>
    <t xml:space="preserve">Total Inventario Bovino</t>
  </si>
  <si>
    <t xml:space="preserve">Carga total en predio</t>
  </si>
  <si>
    <t xml:space="preserve">Producción Anual Estimada</t>
  </si>
  <si>
    <t xml:space="preserve">litros/año (~255,000 L)</t>
  </si>
  <si>
    <t xml:space="preserve">Meta de volumen bruto</t>
  </si>
  <si>
    <t xml:space="preserve">Producción Promedio Diaria</t>
  </si>
  <si>
    <t xml:space="preserve">litros/día</t>
  </si>
  <si>
    <t xml:space="preserve">Base de ordeño diario (2 turnos)</t>
  </si>
  <si>
    <t xml:space="preserve">Consumo Agua Esp. Ordeño</t>
  </si>
  <si>
    <t xml:space="preserve">L agua/L leche (&lt; 2.0 L/L)</t>
  </si>
  <si>
    <t xml:space="preserve">Sostenibilidad hídrica BPG</t>
  </si>
  <si>
    <t xml:space="preserve">Número de Ordeños al Día</t>
  </si>
  <si>
    <t xml:space="preserve">ordeños</t>
  </si>
  <si>
    <t xml:space="preserve">Turnos AM y PM</t>
  </si>
  <si>
    <t xml:space="preserve">Costo Estimado Producción</t>
  </si>
  <si>
    <t xml:space="preserve">$/L (&lt; $1,100 / L)</t>
  </si>
  <si>
    <t xml:space="preserve">Margen operativo proyectado</t>
  </si>
  <si>
    <t xml:space="preserve">Puestos de Ordeño Mecánico</t>
  </si>
  <si>
    <t xml:space="preserve">puestos</t>
  </si>
  <si>
    <t xml:space="preserve">Capacidad instalada</t>
  </si>
  <si>
    <t xml:space="preserve">Tanque de Enfriamiento</t>
  </si>
  <si>
    <t xml:space="preserve">tanque</t>
  </si>
  <si>
    <t xml:space="preserve">Capacidad de almacenamiento en frío</t>
  </si>
  <si>
    <t xml:space="preserve">Personal Operativo (Empleados)</t>
  </si>
  <si>
    <t xml:space="preserve">personas</t>
  </si>
  <si>
    <t xml:space="preserve">Mano de obra directa</t>
  </si>
  <si>
    <t xml:space="preserve">Precio Base Leche Cruda ($/L)</t>
  </si>
  <si>
    <t xml:space="preserve">$/L</t>
  </si>
  <si>
    <t xml:space="preserve">Precio promedio liquidación con bonificaciones</t>
  </si>
  <si>
    <t xml:space="preserve">3. RESUMEN EJECUTIVO DE PRODUCCIÓN Y FINANZAS MES A MES (AÑO 1)</t>
  </si>
  <si>
    <t xml:space="preserve">Mes</t>
  </si>
  <si>
    <t xml:space="preserve">Días</t>
  </si>
  <si>
    <t xml:space="preserve">Vacas Ordeño</t>
  </si>
  <si>
    <t xml:space="preserve">Prod. Diaria (L)</t>
  </si>
  <si>
    <t xml:space="preserve">Total Litros/Mes</t>
  </si>
  <si>
    <t xml:space="preserve">Ingresos Leche ($)</t>
  </si>
  <si>
    <t xml:space="preserve">Costos Operación ($)</t>
  </si>
  <si>
    <t xml:space="preserve">Utilidad Neta ($)</t>
  </si>
  <si>
    <t xml:space="preserve">Costo / Litro ($)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</si>
  <si>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</si>
  <si>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</si>
  <si>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</si>
  <si>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</si>
  <si>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</si>
  <si>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</si>
  <si>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</si>
  <si>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</si>
  <si>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</si>
  <si>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</si>
  <si>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</si>
  <si>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</si>
  <si>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ANUAL</t>
  </si>
  <si>
    <t xml:space="preserve">INVENTARIO INDIVIDUAL DE BOVINOS Y REGISTRO DE TRAZABILIDAD (55 ANIMALES)</t>
  </si>
  <si>
    <t xml:space="preserve">Conforme a la Ley 1659 de Trazabilidad y Normatividad Sanitaria ICA | Finca La Esperanza</t>
  </si>
  <si>
    <t xml:space="preserve">N° Chapeta / ID</t>
  </si>
  <si>
    <t xml:space="preserve">Nombre / Registro</t>
  </si>
  <si>
    <t xml:space="preserve">Raza / Mestizaje</t>
  </si>
  <si>
    <t xml:space="preserve">Categoría</t>
  </si>
  <si>
    <t xml:space="preserve">Lote Pastoreo</t>
  </si>
  <si>
    <t xml:space="preserve">Edad (Meses)</t>
  </si>
  <si>
    <t xml:space="preserve">Estado Reproductivo</t>
  </si>
  <si>
    <t xml:space="preserve">N° Partos</t>
  </si>
  <si>
    <t xml:space="preserve">Días en Leche</t>
  </si>
  <si>
    <t xml:space="preserve">Padre</t>
  </si>
  <si>
    <t xml:space="preserve">Madre</t>
  </si>
  <si>
    <t xml:space="preserve">Observaciones BPG</t>
  </si>
  <si>
    <t xml:space="preserve">Foto</t>
  </si>
  <si>
    <t xml:space="preserve">COL-2024-101</t>
  </si>
  <si>
    <t xml:space="preserve">Clavelina 1</t>
  </si>
  <si>
    <t xml:space="preserve">Jersey x Holstein</t>
  </si>
  <si>
    <t xml:space="preserve">Vaca Ordeño</t>
  </si>
  <si>
    <t xml:space="preserve">Lote 1 (Alta)</t>
  </si>
  <si>
    <t xml:space="preserve">Abierta</t>
  </si>
  <si>
    <t xml:space="preserve">Toro Jersey 502</t>
  </si>
  <si>
    <t xml:space="preserve">Vaca Madre 11</t>
  </si>
  <si>
    <t xml:space="preserve">Apta ordeño / Sana</t>
  </si>
  <si>
    <t xml:space="preserve">col-2024-101.jpg</t>
  </si>
  <si>
    <t xml:space="preserve">COL-2024-102</t>
  </si>
  <si>
    <t xml:space="preserve">Mariposa 2</t>
  </si>
  <si>
    <t xml:space="preserve">Gestante</t>
  </si>
  <si>
    <t xml:space="preserve">Vaca Madre 12</t>
  </si>
  <si>
    <t xml:space="preserve">col-2024-102.jpg</t>
  </si>
  <si>
    <t xml:space="preserve">COL-2024-103</t>
  </si>
  <si>
    <t xml:space="preserve">Clavelina 3</t>
  </si>
  <si>
    <t xml:space="preserve">Vaca Madre 13</t>
  </si>
  <si>
    <t xml:space="preserve">col-2024-103.jpg</t>
  </si>
  <si>
    <t xml:space="preserve">COL-2024-104</t>
  </si>
  <si>
    <t xml:space="preserve">Mariposa 4</t>
  </si>
  <si>
    <t xml:space="preserve">Vaca Madre 14</t>
  </si>
  <si>
    <t xml:space="preserve">col-2024-104.jpg</t>
  </si>
  <si>
    <t xml:space="preserve">COL-2024-105</t>
  </si>
  <si>
    <t xml:space="preserve">Clavelina 5</t>
  </si>
  <si>
    <t xml:space="preserve">Vaca Madre 15</t>
  </si>
  <si>
    <t xml:space="preserve">col-2024-105.jpg</t>
  </si>
  <si>
    <t xml:space="preserve">COL-2024-106</t>
  </si>
  <si>
    <t xml:space="preserve">Mariposa 6</t>
  </si>
  <si>
    <t xml:space="preserve">Vaca Madre 16</t>
  </si>
  <si>
    <t xml:space="preserve">col-2024-106.jpg</t>
  </si>
  <si>
    <t xml:space="preserve">COL-2024-107</t>
  </si>
  <si>
    <t xml:space="preserve">Clavelina 7</t>
  </si>
  <si>
    <t xml:space="preserve">Vaca Madre 17</t>
  </si>
  <si>
    <t xml:space="preserve">col-2024-107.jpg</t>
  </si>
  <si>
    <t xml:space="preserve">COL-2024-108</t>
  </si>
  <si>
    <t xml:space="preserve">Mariposa 8</t>
  </si>
  <si>
    <t xml:space="preserve">Vaca Madre 18</t>
  </si>
  <si>
    <t xml:space="preserve">col-2024-108.jpg</t>
  </si>
  <si>
    <t xml:space="preserve">COL-2024-109</t>
  </si>
  <si>
    <t xml:space="preserve">Clavelina 9</t>
  </si>
  <si>
    <t xml:space="preserve">Vaca Madre 19</t>
  </si>
  <si>
    <t xml:space="preserve">col-2024-109.jpg</t>
  </si>
  <si>
    <t xml:space="preserve">COL-2024-110</t>
  </si>
  <si>
    <t xml:space="preserve">Mariposa 10</t>
  </si>
  <si>
    <t xml:space="preserve">Vaca Madre 20</t>
  </si>
  <si>
    <t xml:space="preserve">col-2024-110.jpg</t>
  </si>
  <si>
    <t xml:space="preserve">COL-2024-111</t>
  </si>
  <si>
    <t xml:space="preserve">Clavelina 11</t>
  </si>
  <si>
    <t xml:space="preserve">Vaca Madre 21</t>
  </si>
  <si>
    <t xml:space="preserve">col-2024-111.jpg</t>
  </si>
  <si>
    <t xml:space="preserve">COL-2024-112</t>
  </si>
  <si>
    <t xml:space="preserve">Mariposa 12</t>
  </si>
  <si>
    <t xml:space="preserve">Vaca Madre 22</t>
  </si>
  <si>
    <t xml:space="preserve">col-2024-112.jpg</t>
  </si>
  <si>
    <t xml:space="preserve">COL-2024-113</t>
  </si>
  <si>
    <t xml:space="preserve">Clavelina 13</t>
  </si>
  <si>
    <t xml:space="preserve">Vaca Madre 23</t>
  </si>
  <si>
    <t xml:space="preserve">col-2024-113.jpg</t>
  </si>
  <si>
    <t xml:space="preserve">COL-2024-114</t>
  </si>
  <si>
    <t xml:space="preserve">Mariposa 14</t>
  </si>
  <si>
    <t xml:space="preserve">Vaca Madre 24</t>
  </si>
  <si>
    <t xml:space="preserve">col-2024-114.jpg</t>
  </si>
  <si>
    <t xml:space="preserve">COL-2024-115</t>
  </si>
  <si>
    <t xml:space="preserve">Clavelina 15</t>
  </si>
  <si>
    <t xml:space="preserve">Vaca Madre 25</t>
  </si>
  <si>
    <t xml:space="preserve">col-2024-115.jpg</t>
  </si>
  <si>
    <t xml:space="preserve">COL-2024-116</t>
  </si>
  <si>
    <t xml:space="preserve">Mariposa 16</t>
  </si>
  <si>
    <t xml:space="preserve">Vaca Madre 26</t>
  </si>
  <si>
    <t xml:space="preserve">col-2024-116.jpg</t>
  </si>
  <si>
    <t xml:space="preserve">COL-2024-117</t>
  </si>
  <si>
    <t xml:space="preserve">Clavelina 17</t>
  </si>
  <si>
    <t xml:space="preserve">Vaca Madre 27</t>
  </si>
  <si>
    <t xml:space="preserve">col-2024-117.jpg</t>
  </si>
  <si>
    <t xml:space="preserve">COL-2024-118</t>
  </si>
  <si>
    <t xml:space="preserve">Mariposa 18</t>
  </si>
  <si>
    <t xml:space="preserve">Vaca Madre 28</t>
  </si>
  <si>
    <t xml:space="preserve">col-2024-118.jpg</t>
  </si>
  <si>
    <t xml:space="preserve">COL-2024-119</t>
  </si>
  <si>
    <t xml:space="preserve">Clavelina 19</t>
  </si>
  <si>
    <t xml:space="preserve">Vaca Madre 29</t>
  </si>
  <si>
    <t xml:space="preserve">col-2024-119.jpg</t>
  </si>
  <si>
    <t xml:space="preserve">COL-2024-120</t>
  </si>
  <si>
    <t xml:space="preserve">Mariposa 20</t>
  </si>
  <si>
    <t xml:space="preserve">Vaca Madre 30</t>
  </si>
  <si>
    <t xml:space="preserve">col-2024-120.jpg</t>
  </si>
  <si>
    <t xml:space="preserve">COL-2024-121</t>
  </si>
  <si>
    <t xml:space="preserve">Clavelina 21</t>
  </si>
  <si>
    <t xml:space="preserve">Vaca Madre 31</t>
  </si>
  <si>
    <t xml:space="preserve">col-2024-121.jpg</t>
  </si>
  <si>
    <t xml:space="preserve">COL-2024-122</t>
  </si>
  <si>
    <t xml:space="preserve">Mariposa 22</t>
  </si>
  <si>
    <t xml:space="preserve">Vaca Madre 32</t>
  </si>
  <si>
    <t xml:space="preserve">col-2024-122.jpg</t>
  </si>
  <si>
    <t xml:space="preserve">COL-2024-123</t>
  </si>
  <si>
    <t xml:space="preserve">Clavelina 23</t>
  </si>
  <si>
    <t xml:space="preserve">Vaca Madre 33</t>
  </si>
  <si>
    <t xml:space="preserve">col-2024-123.jpg</t>
  </si>
  <si>
    <t xml:space="preserve">COL-2024-124</t>
  </si>
  <si>
    <t xml:space="preserve">Mariposa 24</t>
  </si>
  <si>
    <t xml:space="preserve">Vaca Madre 34</t>
  </si>
  <si>
    <t xml:space="preserve">col-2024-124.jpg</t>
  </si>
  <si>
    <t xml:space="preserve">COL-2024-125</t>
  </si>
  <si>
    <t xml:space="preserve">Clavelina 25</t>
  </si>
  <si>
    <t xml:space="preserve">Vaca Madre 35</t>
  </si>
  <si>
    <t xml:space="preserve">col-2024-125.jpg</t>
  </si>
  <si>
    <t xml:space="preserve">COL-2023-201</t>
  </si>
  <si>
    <t xml:space="preserve">Sombra 1</t>
  </si>
  <si>
    <t xml:space="preserve">Jersey</t>
  </si>
  <si>
    <t xml:space="preserve">Vaca Horra</t>
  </si>
  <si>
    <t xml:space="preserve">Lote 2 (Secas)</t>
  </si>
  <si>
    <t xml:space="preserve">Gestante Conf.</t>
  </si>
  <si>
    <t xml:space="preserve">Vaca Madre 6</t>
  </si>
  <si>
    <t xml:space="preserve">Periodo de Secado / CMM Negativo</t>
  </si>
  <si>
    <t xml:space="preserve">col-2023-201.jpg</t>
  </si>
  <si>
    <t xml:space="preserve">COL-2023-202</t>
  </si>
  <si>
    <t xml:space="preserve">Sombra 2</t>
  </si>
  <si>
    <t xml:space="preserve">Vaca Madre 7</t>
  </si>
  <si>
    <t xml:space="preserve">col-2023-202.jpg</t>
  </si>
  <si>
    <t xml:space="preserve">COL-2023-203</t>
  </si>
  <si>
    <t xml:space="preserve">Sombra 3</t>
  </si>
  <si>
    <t xml:space="preserve">Vaca Madre 8</t>
  </si>
  <si>
    <t xml:space="preserve">col-2023-203.jpg</t>
  </si>
  <si>
    <t xml:space="preserve">COL-2023-204</t>
  </si>
  <si>
    <t xml:space="preserve">Sombra 4</t>
  </si>
  <si>
    <t xml:space="preserve">Vaca Madre 9</t>
  </si>
  <si>
    <t xml:space="preserve">col-2023-204.jpg</t>
  </si>
  <si>
    <t xml:space="preserve">COL-2023-205</t>
  </si>
  <si>
    <t xml:space="preserve">Sombra 5</t>
  </si>
  <si>
    <t xml:space="preserve">Vaca Madre 10</t>
  </si>
  <si>
    <t xml:space="preserve">col-2023-205.jpg</t>
  </si>
  <si>
    <t xml:space="preserve">COL-2023-206</t>
  </si>
  <si>
    <t xml:space="preserve">Sombra 6</t>
  </si>
  <si>
    <t xml:space="preserve">col-2023-206.jpg</t>
  </si>
  <si>
    <t xml:space="preserve">COL-2025-301</t>
  </si>
  <si>
    <t xml:space="preserve">Novilla 1</t>
  </si>
  <si>
    <t xml:space="preserve">Mestiza Jersey</t>
  </si>
  <si>
    <t xml:space="preserve">Novilla Levante</t>
  </si>
  <si>
    <t xml:space="preserve">Lote 3 (Levante)</t>
  </si>
  <si>
    <t xml:space="preserve">Vacía (Edad servicio)</t>
  </si>
  <si>
    <t xml:space="preserve">Toro Holstein 101</t>
  </si>
  <si>
    <t xml:space="preserve">Vaca Ordeño 1</t>
  </si>
  <si>
    <t xml:space="preserve">Plan vacunal completo</t>
  </si>
  <si>
    <t xml:space="preserve">col-2025-301.jpg</t>
  </si>
  <si>
    <t xml:space="preserve">COL-2025-302</t>
  </si>
  <si>
    <t xml:space="preserve">Novilla 2</t>
  </si>
  <si>
    <t xml:space="preserve">Vaca Ordeño 2</t>
  </si>
  <si>
    <t xml:space="preserve">col-2025-302.jpg</t>
  </si>
  <si>
    <t xml:space="preserve">COL-2025-303</t>
  </si>
  <si>
    <t xml:space="preserve">Novilla 3</t>
  </si>
  <si>
    <t xml:space="preserve">Vaca Ordeño 3</t>
  </si>
  <si>
    <t xml:space="preserve">col-2025-303.jpg</t>
  </si>
  <si>
    <t xml:space="preserve">COL-2025-304</t>
  </si>
  <si>
    <t xml:space="preserve">Novilla 4</t>
  </si>
  <si>
    <t xml:space="preserve">Vaca Ordeño 4</t>
  </si>
  <si>
    <t xml:space="preserve">col-2025-304.jpg</t>
  </si>
  <si>
    <t xml:space="preserve">COL-2025-305</t>
  </si>
  <si>
    <t xml:space="preserve">Novilla 5</t>
  </si>
  <si>
    <t xml:space="preserve">Vaca Ordeño 5</t>
  </si>
  <si>
    <t xml:space="preserve">col-2025-305.jpg</t>
  </si>
  <si>
    <t xml:space="preserve">COL-2025-306</t>
  </si>
  <si>
    <t xml:space="preserve">Novilla 6</t>
  </si>
  <si>
    <t xml:space="preserve">Vaca Ordeño 6</t>
  </si>
  <si>
    <t xml:space="preserve">col-2025-306.jpg</t>
  </si>
  <si>
    <t xml:space="preserve">COL-2025-307</t>
  </si>
  <si>
    <t xml:space="preserve">Novilla 7</t>
  </si>
  <si>
    <t xml:space="preserve">Vaca Ordeño 7</t>
  </si>
  <si>
    <t xml:space="preserve">col-2025-307.jpg</t>
  </si>
  <si>
    <t xml:space="preserve">COL-2025-308</t>
  </si>
  <si>
    <t xml:space="preserve">Novilla 8</t>
  </si>
  <si>
    <t xml:space="preserve">Vaca Ordeño 8</t>
  </si>
  <si>
    <t xml:space="preserve">col-2025-308.jpg</t>
  </si>
  <si>
    <t xml:space="preserve">COL-2025-309</t>
  </si>
  <si>
    <t xml:space="preserve">Novilla 9</t>
  </si>
  <si>
    <t xml:space="preserve">Vaca Ordeño 9</t>
  </si>
  <si>
    <t xml:space="preserve">col-2025-309.jpg</t>
  </si>
  <si>
    <t xml:space="preserve">COL-2025-310</t>
  </si>
  <si>
    <t xml:space="preserve">Novilla 10</t>
  </si>
  <si>
    <t xml:space="preserve">Vaca Ordeño 10</t>
  </si>
  <si>
    <t xml:space="preserve">col-2025-310.jpg</t>
  </si>
  <si>
    <t xml:space="preserve">COL-2025-311</t>
  </si>
  <si>
    <t xml:space="preserve">Novilla 11</t>
  </si>
  <si>
    <t xml:space="preserve">Vaca Ordeño 11</t>
  </si>
  <si>
    <t xml:space="preserve">col-2025-311.jpg</t>
  </si>
  <si>
    <t xml:space="preserve">COL-2025-312</t>
  </si>
  <si>
    <t xml:space="preserve">Novilla 12</t>
  </si>
  <si>
    <t xml:space="preserve">Vaca Ordeño 12</t>
  </si>
  <si>
    <t xml:space="preserve">col-2025-312.jpg</t>
  </si>
  <si>
    <t xml:space="preserve">COL-2025-313</t>
  </si>
  <si>
    <t xml:space="preserve">Novilla 13</t>
  </si>
  <si>
    <t xml:space="preserve">Vaca Ordeño 13</t>
  </si>
  <si>
    <t xml:space="preserve">col-2025-313.jpg</t>
  </si>
  <si>
    <t xml:space="preserve">COL-2025-314</t>
  </si>
  <si>
    <t xml:space="preserve">Novilla 14</t>
  </si>
  <si>
    <t xml:space="preserve">Vaca Ordeño 14</t>
  </si>
  <si>
    <t xml:space="preserve">col-2025-314.jpg</t>
  </si>
  <si>
    <t xml:space="preserve">COL-2025-315</t>
  </si>
  <si>
    <t xml:space="preserve">Novilla 15</t>
  </si>
  <si>
    <t xml:space="preserve">Vaca Ordeño 15</t>
  </si>
  <si>
    <t xml:space="preserve">col-2025-315.jpg</t>
  </si>
  <si>
    <t xml:space="preserve">COL-2025-316</t>
  </si>
  <si>
    <t xml:space="preserve">Novilla 16</t>
  </si>
  <si>
    <t xml:space="preserve">Vaca Ordeño 16</t>
  </si>
  <si>
    <t xml:space="preserve">col-2025-316.jpg</t>
  </si>
  <si>
    <t xml:space="preserve">COL-2025-317</t>
  </si>
  <si>
    <t xml:space="preserve">Novilla 17</t>
  </si>
  <si>
    <t xml:space="preserve">Vaca Ordeño 17</t>
  </si>
  <si>
    <t xml:space="preserve">col-2025-317.jpg</t>
  </si>
  <si>
    <t xml:space="preserve">COL-2025-318</t>
  </si>
  <si>
    <t xml:space="preserve">Novilla 18</t>
  </si>
  <si>
    <t xml:space="preserve">Vaca Ordeño 18</t>
  </si>
  <si>
    <t xml:space="preserve">col-2025-318.jpg</t>
  </si>
  <si>
    <t xml:space="preserve">COL-2026-401</t>
  </si>
  <si>
    <t xml:space="preserve">Ternero 1</t>
  </si>
  <si>
    <t xml:space="preserve">Jersey Pure</t>
  </si>
  <si>
    <t xml:space="preserve">Ternero Lactante</t>
  </si>
  <si>
    <t xml:space="preserve">Lote Cuna</t>
  </si>
  <si>
    <t xml:space="preserve">No aplica</t>
  </si>
  <si>
    <t xml:space="preserve">Consumo calostro ok / Desparasitado</t>
  </si>
  <si>
    <t xml:space="preserve">col-2026-401.jpg</t>
  </si>
  <si>
    <t xml:space="preserve">COL-2026-402</t>
  </si>
  <si>
    <t xml:space="preserve">Ternero 2</t>
  </si>
  <si>
    <t xml:space="preserve">col-2026-402.jpg</t>
  </si>
  <si>
    <t xml:space="preserve">COL-2026-403</t>
  </si>
  <si>
    <t xml:space="preserve">Ternero 3</t>
  </si>
  <si>
    <t xml:space="preserve">col-2026-403.jpg</t>
  </si>
  <si>
    <t xml:space="preserve">COL-2026-404</t>
  </si>
  <si>
    <t xml:space="preserve">Ternero 4</t>
  </si>
  <si>
    <t xml:space="preserve">col-2026-404.jpg</t>
  </si>
  <si>
    <t xml:space="preserve">COL-2026-405</t>
  </si>
  <si>
    <t xml:space="preserve">Ternero 5</t>
  </si>
  <si>
    <t xml:space="preserve">col-2026-405.jpg</t>
  </si>
  <si>
    <t xml:space="preserve">COL-2026-406</t>
  </si>
  <si>
    <t xml:space="preserve">Ternero 6</t>
  </si>
  <si>
    <t xml:space="preserve">col-2026-406.jpg</t>
  </si>
  <si>
    <t xml:space="preserve">REGISTRO MENSUAL DE CONTROL LECHERO Y PRUEBA CMT (12 MESES)</t>
  </si>
  <si>
    <t xml:space="preserve">Monitoreo Individual de Producción y Diagnóstico de Mastitis Subclínica | Manual Asojersey</t>
  </si>
  <si>
    <t xml:space="preserve">1. REGISTRO DE PRODUCCIÓN DIARIA INDIVIDUAL POR VACA EN ORDEÑO (MUESTRA MENSUAL EN KG/LITEROS)</t>
  </si>
  <si>
    <t xml:space="preserve">N° Chapeta</t>
  </si>
  <si>
    <t xml:space="preserve">Nombre Vaca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</si>
  <si>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</si>
  <si>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</si>
  <si>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</si>
  <si>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</si>
  <si>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</si>
  <si>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</si>
  <si>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</si>
  <si>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</si>
  <si>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</si>
  <si>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</si>
  <si>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</si>
  <si>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</si>
  <si>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Prom/Vaca</t>
  </si>
  <si>
    <t xml:space="preserve">Vaca Ordeño 19</t>
  </si>
  <si>
    <t xml:space="preserve">Vaca Ordeño 20</t>
  </si>
  <si>
    <t xml:space="preserve">Vaca Ordeño 21</t>
  </si>
  <si>
    <t xml:space="preserve">Vaca Ordeño 22</t>
  </si>
  <si>
    <t xml:space="preserve">Vaca Ordeño 23</t>
  </si>
  <si>
    <t xml:space="preserve">Vaca Ordeño 24</t>
  </si>
  <si>
    <t xml:space="preserve">Vaca Ordeño 25</t>
  </si>
  <si>
    <t xml:space="preserve">PROMEDIO HATO</t>
  </si>
  <si>
    <t xml:space="preserve">25 Vacas</t>
  </si>
  <si>
    <t xml:space="preserve">2. MONITOREO DE MASTITIS SUBCLÍNICA (TEST DE CALIFORNIA - CMT MENSUAL)</t>
  </si>
  <si>
    <t xml:space="preserve">Cuarto AI</t>
  </si>
  <si>
    <t xml:space="preserve">Cuarto AD</t>
  </si>
  <si>
    <t xml:space="preserve">Cuarto PI</t>
  </si>
  <si>
    <t xml:space="preserve">Cuarto PD</t>
  </si>
  <si>
    <t xml:space="preserve">Resultado CMT</t>
  </si>
  <si>
    <t xml:space="preserve">Acción Correctiva BPG</t>
  </si>
  <si>
    <t xml:space="preserve">Negativo</t>
  </si>
  <si>
    <t xml:space="preserve">Sano</t>
  </si>
  <si>
    <t xml:space="preserve">Rutina normal de sellado</t>
  </si>
  <si>
    <t xml:space="preserve">Traza</t>
  </si>
  <si>
    <t xml:space="preserve">Atención</t>
  </si>
  <si>
    <t xml:space="preserve">Monitoreo en próximo ordeño</t>
  </si>
  <si>
    <t xml:space="preserve">Grado 1 (+)</t>
  </si>
  <si>
    <t xml:space="preserve">Subclínica</t>
  </si>
  <si>
    <t xml:space="preserve">Desinfección intensiva / Sellador reactivo</t>
  </si>
  <si>
    <t xml:space="preserve">Grado 2 (++)</t>
  </si>
  <si>
    <t xml:space="preserve">Alerta Clin.</t>
  </si>
  <si>
    <t xml:space="preserve">Aislamiento de leche / Pauta veterinaria</t>
  </si>
  <si>
    <t xml:space="preserve">3. PRODUCCIÓN POR ORDEÑO AM vs PM (L/VACA/DÍA · PROMEDIO MENSUAL) — DATOS SIMULADOS</t>
  </si>
  <si>
    <t xml:space="preserve">Ordeño AM (L)</t>
  </si>
  <si>
    <t xml:space="preserve">Ordeño PM (L)</t>
  </si>
  <si>
    <t xml:space="preserve">Total día (L)</t>
  </si>
  <si>
    <t xml:space="preserve">% AM del total</t>
  </si>
  <si>
    <t xml:space="preserve">Diferencia AM – PM (L)</t>
  </si>
  <si>
    <t xml:space="preserve">Nota: valores simulados para la prueba piloto. AM + PM equivale al promedio anual por vaca de la tabla 1. Se espera ~52–57% de la leche en el ordeño AM; valores &gt; 60% indican posible desbalance de intervalos o nutrición.</t>
  </si>
  <si>
    <t xml:space="preserve">4. CONTROL DE TEMPERATURA DEL TANQUE DE FRÍO (°C) — REGISTRO DIARIO SEPTIEMBRE 2026 — DATOS SIMULADOS</t>
  </si>
  <si>
    <t xml:space="preserve">Límite inferior (°C)</t>
  </si>
  <si>
    <t xml:space="preserve">Límite superior (°C)</t>
  </si>
  <si>
    <t xml:space="preserve">Fecha</t>
  </si>
  <si>
    <t xml:space="preserve">Temp. AM (°C)</t>
  </si>
  <si>
    <t xml:space="preserve">Temp. PM (°C)</t>
  </si>
  <si>
    <t xml:space="preserve">Promedio (°C)</t>
  </si>
  <si>
    <t xml:space="preserve">Máximo (°C)</t>
  </si>
  <si>
    <t xml:space="preserve">Estado</t>
  </si>
  <si>
    <t xml:space="preserve">Observación / Acción correctiva</t>
  </si>
  <si>
    <t xml:space="preserve">Pico PM: revisar compresor y agitador del tanque</t>
  </si>
  <si>
    <t xml:space="preserve">Falla de enfriamiento: verificar condensador, leche en riesgo</t>
  </si>
  <si>
    <t xml:space="preserve">AM bajo límite: revisar termostato (riesgo de congelación)</t>
  </si>
  <si>
    <t xml:space="preserve">PROMEDIO / RESUMEN</t>
  </si>
  <si>
    <t xml:space="preserve">Nota: temperaturas simuladas. Límites de control 2.0–4.0 °C (celdas azules B72:B73 editables). Celdas rojas = fuera de rango.</t>
  </si>
  <si>
    <t xml:space="preserve">REGISTRO DE REPRODUCCIÓN Y PLAN SANITARIO OFICIAL ICA (12 MESES)</t>
  </si>
  <si>
    <t xml:space="preserve">Control de Días Abiertos, Inseminación y Calendario de Vacunación | Finca La Esperanza</t>
  </si>
  <si>
    <t xml:space="preserve">1. REGISTRO REPRODUCTIVO Y CONTROL DE DÍAS ABIERTOS (META: &lt;= 85 DÍAS)</t>
  </si>
  <si>
    <t xml:space="preserve">Fecha Último Parto</t>
  </si>
  <si>
    <t xml:space="preserve">Fecha Servicio/IA</t>
  </si>
  <si>
    <t xml:space="preserve">Toro / Pajilla</t>
  </si>
  <si>
    <t xml:space="preserve">Diagnóstico Preñez</t>
  </si>
  <si>
    <t xml:space="preserve">Fecha Probable Parto</t>
  </si>
  <si>
    <t xml:space="preserve">Días Abiertos</t>
  </si>
  <si>
    <t xml:space="preserve">2025-11-10</t>
  </si>
  <si>
    <t xml:space="preserve">2026-01-25</t>
  </si>
  <si>
    <t xml:space="preserve">Jersey 502</t>
  </si>
  <si>
    <t xml:space="preserve">Confirmado (Eco)</t>
  </si>
  <si>
    <t xml:space="preserve">2026-11-03</t>
  </si>
  <si>
    <t xml:space="preserve">2025-12-05</t>
  </si>
  <si>
    <t xml:space="preserve">2026-02-18</t>
  </si>
  <si>
    <t xml:space="preserve">Jersey 504</t>
  </si>
  <si>
    <t xml:space="preserve">Confirmado (Palp)</t>
  </si>
  <si>
    <t xml:space="preserve">2026-11-26</t>
  </si>
  <si>
    <t xml:space="preserve">2026-01-15</t>
  </si>
  <si>
    <t xml:space="preserve">2026-04-10</t>
  </si>
  <si>
    <t xml:space="preserve">Holstein 101</t>
  </si>
  <si>
    <t xml:space="preserve">Pendiente</t>
  </si>
  <si>
    <t xml:space="preserve">2027-01-16</t>
  </si>
  <si>
    <t xml:space="preserve">Servida</t>
  </si>
  <si>
    <t xml:space="preserve">2026-02-01</t>
  </si>
  <si>
    <t xml:space="preserve">2026-03-22</t>
  </si>
  <si>
    <t xml:space="preserve">2026-12-28</t>
  </si>
  <si>
    <t xml:space="preserve">2026-03-10</t>
  </si>
  <si>
    <t xml:space="preserve">Sin servicio</t>
  </si>
  <si>
    <t xml:space="preserve">N/A</t>
  </si>
  <si>
    <t xml:space="preserve">Vacía</t>
  </si>
  <si>
    <t xml:space="preserve">En Celo / Abierta</t>
  </si>
  <si>
    <t xml:space="preserve">2. PLAN SANITARIO Y REGISTRO DE MEDICAMENTOS VETERINARIOS (BPG / ICA)</t>
  </si>
  <si>
    <t xml:space="preserve">Lote / Chapeta</t>
  </si>
  <si>
    <t xml:space="preserve">Diagnóstico / Evento</t>
  </si>
  <si>
    <t xml:space="preserve">Medicamento / Vacuna</t>
  </si>
  <si>
    <t xml:space="preserve">Reg. ICA</t>
  </si>
  <si>
    <t xml:space="preserve">Dosis / Vía</t>
  </si>
  <si>
    <t xml:space="preserve">Tiempo Retiro Leche (Días)</t>
  </si>
  <si>
    <t xml:space="preserve">Responsable</t>
  </si>
  <si>
    <t xml:space="preserve">Cumplimiento</t>
  </si>
  <si>
    <t xml:space="preserve">2026-05-12</t>
  </si>
  <si>
    <t xml:space="preserve">Todo el hato (55)</t>
  </si>
  <si>
    <t xml:space="preserve">Ciclo Vacunación Fiebre Aftosa</t>
  </si>
  <si>
    <t xml:space="preserve">Aftosa Bivalente</t>
  </si>
  <si>
    <t xml:space="preserve">ICA-1234</t>
  </si>
  <si>
    <t xml:space="preserve">2 ml / SC</t>
  </si>
  <si>
    <t xml:space="preserve">Dr. Vet. Ramírez</t>
  </si>
  <si>
    <t xml:space="preserve">Verificado ICA</t>
  </si>
  <si>
    <t xml:space="preserve">Novillas (18)</t>
  </si>
  <si>
    <t xml:space="preserve">Vacunación Brucelosis</t>
  </si>
  <si>
    <t xml:space="preserve">Cepa 19</t>
  </si>
  <si>
    <t xml:space="preserve">ICA-5678</t>
  </si>
  <si>
    <t xml:space="preserve">2026-06-01</t>
  </si>
  <si>
    <t xml:space="preserve">Tratamiento Mastitis Clínica</t>
  </si>
  <si>
    <t xml:space="preserve">Cefalexina Intramamaria</t>
  </si>
  <si>
    <t xml:space="preserve">ICA-9012</t>
  </si>
  <si>
    <t xml:space="preserve">1 jeringa / Cto</t>
  </si>
  <si>
    <t xml:space="preserve">Empleado 1</t>
  </si>
  <si>
    <t xml:space="preserve">Leche descartada 4 días</t>
  </si>
  <si>
    <t xml:space="preserve">2026-07-15</t>
  </si>
  <si>
    <t xml:space="preserve">Hato Adulto (31)</t>
  </si>
  <si>
    <t xml:space="preserve">Vermifugación Externa / Interna</t>
  </si>
  <si>
    <t xml:space="preserve">Ivermectina 1%</t>
  </si>
  <si>
    <t xml:space="preserve">ICA-3456</t>
  </si>
  <si>
    <t xml:space="preserve">1 ml / 50 kg</t>
  </si>
  <si>
    <t xml:space="preserve">Empleado 2</t>
  </si>
  <si>
    <t xml:space="preserve">Cumplido retiro</t>
  </si>
  <si>
    <t xml:space="preserve">REGISTRO DE USO DE AGUA Y RUTINA DE DESINFECCIÓN DE EQUIPOS (BPG)</t>
  </si>
  <si>
    <t xml:space="preserve">Conforme a Normatividad Corantioquia y Decreto 616 de Inocuidad de la Leche | Finca La Esperanza</t>
  </si>
  <si>
    <t xml:space="preserve">1. REGISTRO MENSUAL DE CONSUMO HÍDRICO Y EFICIENCIA (M3 Y LITROS/LITRO LECHE)</t>
  </si>
  <si>
    <t xml:space="preserve">Lectura Inicial (m³)</t>
  </si>
  <si>
    <t xml:space="preserve">Lectura Final (m³)</t>
  </si>
  <si>
    <t xml:space="preserve">Consumo Mes (m³)</t>
  </si>
  <si>
    <t xml:space="preserve">Consumo Agua (L)</t>
  </si>
  <si>
    <t xml:space="preserve">Producción Leche (L)</t>
  </si>
  <si>
    <t xml:space="preserve">Módulo Consumo (L agua/L leche)</t>
  </si>
  <si>
    <t xml:space="preserve">Evaluación Ambiental</t>
  </si>
  <si>
    <t xml:space="preserve">Eficiente (&lt; 2.0 L/L)</t>
  </si>
  <si>
    <t xml:space="preserve">Cumple norma ambiental</t>
  </si>
  <si>
    <t xml:space="preserve">PLAN DE ROTACIÓN DE POTREROS Y BALANCE NUTRICIONAL EN 15 HECTÁREAS</t>
  </si>
  <si>
    <t xml:space="preserve">Optimización de Forrajes y Suplementación Concentrada por Etapa | Finca La Esperanza</t>
  </si>
  <si>
    <t xml:space="preserve">1. PROGRAMA DE ROTACIÓN DE POTREROS (15 HA DIVIDIDAS EN 15 POTREROS DE 1.0 HA)</t>
  </si>
  <si>
    <t xml:space="preserve">N° Potrero</t>
  </si>
  <si>
    <t xml:space="preserve">Área (ha)</t>
  </si>
  <si>
    <t xml:space="preserve">Tipo de Pasto</t>
  </si>
  <si>
    <t xml:space="preserve">Días Ocupación</t>
  </si>
  <si>
    <t xml:space="preserve">Días Descanso</t>
  </si>
  <si>
    <t xml:space="preserve">Aforo Promedio (kg/m²)</t>
  </si>
  <si>
    <t xml:space="preserve">Oferta Forraje (kg/día)</t>
  </si>
  <si>
    <t xml:space="preserve">Potrero 1</t>
  </si>
  <si>
    <t xml:space="preserve">Kikuyo Mejorado</t>
  </si>
  <si>
    <t xml:space="preserve">Potrero 2</t>
  </si>
  <si>
    <t xml:space="preserve">Kikuyo / Trébol</t>
  </si>
  <si>
    <t xml:space="preserve">Potrero 3</t>
  </si>
  <si>
    <t xml:space="preserve">Potrero 4</t>
  </si>
  <si>
    <t xml:space="preserve">Potrero 5</t>
  </si>
  <si>
    <t xml:space="preserve">Potrero 6</t>
  </si>
  <si>
    <t xml:space="preserve">Potrero 7</t>
  </si>
  <si>
    <t xml:space="preserve">Potrero 8</t>
  </si>
  <si>
    <t xml:space="preserve">Potrero 9</t>
  </si>
  <si>
    <t xml:space="preserve">Potrero 10</t>
  </si>
  <si>
    <t xml:space="preserve">Potrero 11</t>
  </si>
  <si>
    <t xml:space="preserve">Potrero 12</t>
  </si>
  <si>
    <t xml:space="preserve">Potrero 13</t>
  </si>
  <si>
    <t xml:space="preserve">Potrero 14</t>
  </si>
  <si>
    <t xml:space="preserve">Potrero 15</t>
  </si>
  <si>
    <t xml:space="preserve">ESTADO DE RESULTADOS Y FLUJO DE CAJA MENSUAL DE LA FINCA (12 MESES)</t>
  </si>
  <si>
    <t xml:space="preserve">Evaluación de Rentabilidad, Costos de Producción y Margen Operacional | Finca La Esperanza</t>
  </si>
  <si>
    <t xml:space="preserve">Concepto Financiero ($ COP)</t>
  </si>
  <si>
    <t xml:space="preserve">TOTAL AÑO 1</t>
  </si>
  <si>
    <t xml:space="preserve">INGRESOS OPERACIONALES</t>
  </si>
  <si>
    <t xml:space="preserve">Venta de Leche Cruda</t>
  </si>
  <si>
    <t xml:space="preserve">Venta de Terneros Machos / Descarte</t>
  </si>
  <si>
    <t xml:space="preserve">TOTAL INGRESOS BRUTOS</t>
  </si>
  <si>
    <t xml:space="preserve">COSTOS DE PRODUCCIÓN Y OPERACIÓN</t>
  </si>
  <si>
    <t xml:space="preserve">Alimento Concentrado (Vacas, Novillas)</t>
  </si>
  <si>
    <t xml:space="preserve">Sal Mineralizada y Suplementos</t>
  </si>
  <si>
    <t xml:space="preserve">Mano de Obra Directa (2 Empleados)</t>
  </si>
  <si>
    <t xml:space="preserve">Energía Eléctrica y Combustibles</t>
  </si>
  <si>
    <t xml:space="preserve">Sanidad, Vacunas y Medicamentos BPG</t>
  </si>
  <si>
    <t xml:space="preserve">Detergentes y Saneamiento Ordeño</t>
  </si>
  <si>
    <t xml:space="preserve">Mantenimiento Praderas y Fertilizantes</t>
  </si>
  <si>
    <t xml:space="preserve">Mantenimiento Equipos y Repuestos</t>
  </si>
  <si>
    <t xml:space="preserve">Asistencia Técnica y Veterinaria</t>
  </si>
  <si>
    <t xml:space="preserve">TOTAL COSTOS OPERACIONALES</t>
  </si>
  <si>
    <t xml:space="preserve">UTILIDAD OPERACIONAL NETA</t>
  </si>
  <si>
    <t xml:space="preserve">COSTO DE PRODUCCIÓN POR LITRO ($/L)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</si>
</sst>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#,##0"/>
    <numFmt numFmtId="167" formatCode="0.0%"/>
    <numFmt numFmtId="168" formatCode="\$#,##0"/>
    <numFmt numFmtId="169" formatCode="General"/>
    <numFmt numFmtId="170" formatCode="0.0"/>
    <numFmt numFmtId="171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333333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0000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2F5496"/>
      </patternFill>
    </fill>
    <fill>
      <patternFill patternType="solid">
        <fgColor rgb="FF2F5496"/>
        <bgColor rgb="FF1F4E78"/>
      </patternFill>
    </fill>
    <fill>
      <patternFill patternType="solid">
        <fgColor rgb="FFDCE6F1"/>
        <bgColor rgb="FFD9E1F2"/>
      </patternFill>
    </fill>
    <fill>
      <patternFill patternType="solid">
        <fgColor rgb="FFE2EFDA"/>
        <bgColor rgb="FFDCE6F1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DCE6F1"/>
      </patternFill>
    </fill>
    <fill>
      <patternFill patternType="solid">
        <fgColor rgb="FFFCE4D6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medium">
        <color rgb="FF2F5496"/>
      </top>
      <bottom style="double">
        <color rgb="FF2F5496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  <diagonal/>
    </border>
    <border diagonalUp="false" diagonalDown="false">
      <left style="thin">
        <color rgb="FFD9D9D9"/>
      </left>
      <right style="thin">
        <color rgb="FFD9D9D9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2F2F2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CE4D6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86"/>
    <col collapsed="false" customWidth="true" hidden="false" outlineLevel="0" max="3" min="2" style="0" width="15"/>
    <col collapsed="false" customWidth="true" hidden="false" outlineLevel="0" max="4" min="4" style="0" width="49"/>
    <col collapsed="false" customWidth="true" hidden="false" outlineLevel="0" max="5" min="5" style="0" width="19"/>
    <col collapsed="false" customWidth="true" hidden="false" outlineLevel="0" max="6" min="6" style="0" width="43"/>
    <col collapsed="false" customWidth="true" hidden="false" outlineLevel="0" max="7" min="7" style="0" width="23"/>
    <col collapsed="false" customWidth="true" hidden="false" outlineLevel="0" max="8" min="8" style="0" width="30"/>
    <col collapsed="false" customWidth="true" hidden="false" outlineLevel="0" max="9" min="9" style="0" width="35"/>
  </cols>
  <sheetData>
    <row r="1" customFormat="false" ht="21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F4" s="3" t="s">
        <v>3</v>
      </c>
      <c r="G4" s="3"/>
      <c r="H4" s="3"/>
      <c r="I4" s="3"/>
    </row>
    <row r="5" customFormat="false" ht="15" hidden="false" customHeight="false" outlineLevel="0" collapsed="false">
      <c r="A5" s="4" t="s">
        <v>4</v>
      </c>
      <c r="B5" s="4" t="s">
        <v>5</v>
      </c>
      <c r="C5" s="4" t="s">
        <v>6</v>
      </c>
      <c r="D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15" hidden="false" customHeight="false" outlineLevel="0" collapsed="false">
      <c r="A6" s="5" t="s">
        <v>12</v>
      </c>
      <c r="B6" s="6" t="n">
        <v>15</v>
      </c>
      <c r="C6" s="7" t="s">
        <v>13</v>
      </c>
      <c r="D6" s="8" t="s">
        <v>14</v>
      </c>
      <c r="F6" s="5" t="s">
        <v>15</v>
      </c>
      <c r="G6" s="9" t="n">
        <f aca="false">B12/B7</f>
        <v>28</v>
      </c>
      <c r="H6" s="10" t="s">
        <v>16</v>
      </c>
      <c r="I6" s="8" t="s">
        <v>17</v>
      </c>
    </row>
    <row r="7" customFormat="false" ht="15" hidden="false" customHeight="false" outlineLevel="0" collapsed="false">
      <c r="A7" s="10" t="s">
        <v>18</v>
      </c>
      <c r="B7" s="11" t="n">
        <v>25</v>
      </c>
      <c r="C7" s="7" t="s">
        <v>19</v>
      </c>
      <c r="D7" s="8" t="s">
        <v>20</v>
      </c>
      <c r="F7" s="5" t="s">
        <v>21</v>
      </c>
      <c r="G7" s="9" t="n">
        <f aca="false">B11/B6</f>
        <v>3.66666666666667</v>
      </c>
      <c r="H7" s="10" t="s">
        <v>22</v>
      </c>
      <c r="I7" s="8" t="s">
        <v>23</v>
      </c>
    </row>
    <row r="8" customFormat="false" ht="15" hidden="false" customHeight="false" outlineLevel="0" collapsed="false">
      <c r="A8" s="10" t="s">
        <v>24</v>
      </c>
      <c r="B8" s="11" t="n">
        <v>6</v>
      </c>
      <c r="C8" s="7" t="s">
        <v>19</v>
      </c>
      <c r="D8" s="8" t="s">
        <v>25</v>
      </c>
      <c r="F8" s="5" t="s">
        <v>26</v>
      </c>
      <c r="G8" s="12" t="n">
        <f aca="false">B7/(B7+B8)</f>
        <v>0.806451612903226</v>
      </c>
      <c r="H8" s="10" t="s">
        <v>27</v>
      </c>
      <c r="I8" s="8" t="s">
        <v>28</v>
      </c>
    </row>
    <row r="9" customFormat="false" ht="15" hidden="false" customHeight="false" outlineLevel="0" collapsed="false">
      <c r="A9" s="10" t="s">
        <v>29</v>
      </c>
      <c r="B9" s="11" t="n">
        <v>18</v>
      </c>
      <c r="C9" s="7" t="s">
        <v>19</v>
      </c>
      <c r="D9" s="8" t="s">
        <v>30</v>
      </c>
      <c r="F9" s="5" t="s">
        <v>31</v>
      </c>
      <c r="G9" s="12" t="n">
        <f aca="false">B9/B7</f>
        <v>0.72</v>
      </c>
      <c r="H9" s="10" t="s">
        <v>32</v>
      </c>
      <c r="I9" s="8" t="s">
        <v>33</v>
      </c>
    </row>
    <row r="10" customFormat="false" ht="15" hidden="false" customHeight="false" outlineLevel="0" collapsed="false">
      <c r="A10" s="10" t="s">
        <v>34</v>
      </c>
      <c r="B10" s="11" t="n">
        <v>6</v>
      </c>
      <c r="C10" s="7" t="s">
        <v>19</v>
      </c>
      <c r="D10" s="8" t="s">
        <v>35</v>
      </c>
      <c r="F10" s="5" t="s">
        <v>36</v>
      </c>
      <c r="G10" s="9" t="n">
        <f aca="false">B7/B14</f>
        <v>8.33333333333333</v>
      </c>
      <c r="H10" s="10" t="s">
        <v>37</v>
      </c>
      <c r="I10" s="8" t="s">
        <v>38</v>
      </c>
    </row>
    <row r="11" customFormat="false" ht="15" hidden="false" customHeight="false" outlineLevel="0" collapsed="false">
      <c r="A11" s="5" t="s">
        <v>39</v>
      </c>
      <c r="B11" s="13" t="n">
        <f aca="false">SUM(B7:B10)</f>
        <v>55</v>
      </c>
      <c r="C11" s="7" t="s">
        <v>19</v>
      </c>
      <c r="D11" s="8" t="s">
        <v>40</v>
      </c>
      <c r="F11" s="5" t="s">
        <v>41</v>
      </c>
      <c r="G11" s="9" t="n">
        <f aca="false">B12*365</f>
        <v>255500</v>
      </c>
      <c r="H11" s="10" t="s">
        <v>42</v>
      </c>
      <c r="I11" s="8" t="s">
        <v>43</v>
      </c>
    </row>
    <row r="12" customFormat="false" ht="15" hidden="false" customHeight="false" outlineLevel="0" collapsed="false">
      <c r="A12" s="10" t="s">
        <v>44</v>
      </c>
      <c r="B12" s="11" t="n">
        <v>700</v>
      </c>
      <c r="C12" s="7" t="s">
        <v>45</v>
      </c>
      <c r="D12" s="8" t="s">
        <v>46</v>
      </c>
      <c r="F12" s="5" t="s">
        <v>47</v>
      </c>
      <c r="G12" s="9" t="n">
        <v>1.8</v>
      </c>
      <c r="H12" s="10" t="s">
        <v>48</v>
      </c>
      <c r="I12" s="8" t="s">
        <v>49</v>
      </c>
    </row>
    <row r="13" customFormat="false" ht="15" hidden="false" customHeight="false" outlineLevel="0" collapsed="false">
      <c r="A13" s="10" t="s">
        <v>50</v>
      </c>
      <c r="B13" s="11" t="n">
        <v>2</v>
      </c>
      <c r="C13" s="7" t="s">
        <v>51</v>
      </c>
      <c r="D13" s="8" t="s">
        <v>52</v>
      </c>
      <c r="F13" s="5" t="s">
        <v>53</v>
      </c>
      <c r="G13" s="14" t="n">
        <v>1020</v>
      </c>
      <c r="H13" s="10" t="s">
        <v>54</v>
      </c>
      <c r="I13" s="8" t="s">
        <v>55</v>
      </c>
    </row>
    <row r="14" customFormat="false" ht="15" hidden="false" customHeight="false" outlineLevel="0" collapsed="false">
      <c r="A14" s="10" t="s">
        <v>56</v>
      </c>
      <c r="B14" s="11" t="n">
        <v>3</v>
      </c>
      <c r="C14" s="7" t="s">
        <v>57</v>
      </c>
      <c r="D14" s="8" t="s">
        <v>58</v>
      </c>
    </row>
    <row r="15" customFormat="false" ht="15" hidden="false" customHeight="false" outlineLevel="0" collapsed="false">
      <c r="A15" s="10" t="s">
        <v>59</v>
      </c>
      <c r="B15" s="11" t="n">
        <v>1</v>
      </c>
      <c r="C15" s="7" t="s">
        <v>60</v>
      </c>
      <c r="D15" s="8" t="s">
        <v>61</v>
      </c>
    </row>
    <row r="16" customFormat="false" ht="15" hidden="false" customHeight="false" outlineLevel="0" collapsed="false">
      <c r="A16" s="10" t="s">
        <v>62</v>
      </c>
      <c r="B16" s="11" t="n">
        <v>2</v>
      </c>
      <c r="C16" s="7" t="s">
        <v>63</v>
      </c>
      <c r="D16" s="8" t="s">
        <v>64</v>
      </c>
    </row>
    <row r="17" customFormat="false" ht="15" hidden="false" customHeight="false" outlineLevel="0" collapsed="false">
      <c r="A17" s="10" t="s">
        <v>65</v>
      </c>
      <c r="B17" s="15" t="n">
        <v>2250</v>
      </c>
      <c r="C17" s="7" t="s">
        <v>66</v>
      </c>
      <c r="D17" s="8" t="s">
        <v>67</v>
      </c>
    </row>
    <row r="19" customFormat="false" ht="15" hidden="false" customHeight="false" outlineLevel="0" collapsed="false">
      <c r="A19" s="16" t="s">
        <v>68</v>
      </c>
      <c r="B19" s="16"/>
      <c r="C19" s="16"/>
      <c r="D19" s="16"/>
      <c r="E19" s="16"/>
      <c r="F19" s="16"/>
      <c r="G19" s="16"/>
      <c r="H19" s="16"/>
      <c r="I19" s="16"/>
    </row>
    <row r="20" customFormat="false" ht="15" hidden="false" customHeight="false" outlineLevel="0" collapsed="false">
      <c r="A20" s="4" t="s">
        <v>69</v>
      </c>
      <c r="B20" s="4" t="s">
        <v>70</v>
      </c>
      <c r="C20" s="4" t="s">
        <v>71</v>
      </c>
      <c r="D20" s="4" t="s">
        <v>72</v>
      </c>
      <c r="E20" s="4" t="s">
        <v>73</v>
      </c>
      <c r="F20" s="4" t="s">
        <v>74</v>
      </c>
      <c r="G20" s="4" t="s">
        <v>75</v>
      </c>
      <c r="H20" s="4" t="s">
        <v>76</v>
      </c>
      <c r="I20" s="4" t="s">
        <v>77</v>
      </c>
    </row>
    <row r="21" customFormat="false" ht="15" hidden="false" customHeight="false" outlineLevel="0" collapsed="false">
      <c r="A21" s="17" t="s">
        <v>78</v>
      </c>
      <c r="B21" s="18" t="n">
        <v>31</v>
      </c>
      <c r="C21" s="18" t="n">
        <v>25</v>
      </c>
      <c r="D21" s="19" t="n">
        <v>710</v>
      </c>
      <c r="E21" s="20" t="n">
        <f aca="false">B21*D21</f>
        <v>22010</v>
      </c>
      <c r="F21" s="21" t="n">
        <f aca="false">E21*$B$17</f>
        <v>49522500</v>
      </c>
      <c r="G21" s="21" t="n">
        <v>20450000</v>
      </c>
      <c r="H21" s="21" t="n">
        <f aca="false">F21-G21</f>
        <v>29072500</v>
      </c>
      <c r="I21" s="21" t="n">
        <f aca="false">G21/E21</f>
        <v>929.123125851886</v>
      </c>
    </row>
    <row r="22" customFormat="false" ht="15" hidden="false" customHeight="false" outlineLevel="0" collapsed="false">
      <c r="A22" s="22" t="s">
        <v>79</v>
      </c>
      <c r="B22" s="7" t="n">
        <v>28</v>
      </c>
      <c r="C22" s="7" t="n">
        <v>25</v>
      </c>
      <c r="D22" s="23" t="n">
        <v>695</v>
      </c>
      <c r="E22" s="24" t="n">
        <f aca="false">B22*D22</f>
        <v>19460</v>
      </c>
      <c r="F22" s="25" t="n">
        <f aca="false">E22*$B$17</f>
        <v>43785000</v>
      </c>
      <c r="G22" s="25" t="n">
        <v>19200000</v>
      </c>
      <c r="H22" s="25" t="n">
        <f aca="false">F22-G22</f>
        <v>24585000</v>
      </c>
      <c r="I22" s="25" t="n">
        <f aca="false">G22/E22</f>
        <v>986.639260020555</v>
      </c>
    </row>
    <row r="23" customFormat="false" ht="15" hidden="false" customHeight="false" outlineLevel="0" collapsed="false">
      <c r="A23" s="17" t="s">
        <v>80</v>
      </c>
      <c r="B23" s="18" t="n">
        <v>31</v>
      </c>
      <c r="C23" s="18" t="n">
        <v>24</v>
      </c>
      <c r="D23" s="19" t="n">
        <v>680</v>
      </c>
      <c r="E23" s="20" t="n">
        <f aca="false">B23*D23</f>
        <v>21080</v>
      </c>
      <c r="F23" s="21" t="n">
        <f aca="false">E23*$B$17</f>
        <v>47430000</v>
      </c>
      <c r="G23" s="21" t="n">
        <v>20100000</v>
      </c>
      <c r="H23" s="21" t="n">
        <f aca="false">F23-G23</f>
        <v>27330000</v>
      </c>
      <c r="I23" s="21" t="n">
        <f aca="false">G23/E23</f>
        <v>953.510436432638</v>
      </c>
    </row>
    <row r="24" customFormat="false" ht="15" hidden="false" customHeight="false" outlineLevel="0" collapsed="false">
      <c r="A24" s="22" t="s">
        <v>81</v>
      </c>
      <c r="B24" s="7" t="n">
        <v>30</v>
      </c>
      <c r="C24" s="7" t="n">
        <v>24</v>
      </c>
      <c r="D24" s="23" t="n">
        <v>705</v>
      </c>
      <c r="E24" s="24" t="n">
        <f aca="false">B24*D24</f>
        <v>21150</v>
      </c>
      <c r="F24" s="25" t="n">
        <f aca="false">E24*$B$17</f>
        <v>47587500</v>
      </c>
      <c r="G24" s="25" t="n">
        <v>20300000</v>
      </c>
      <c r="H24" s="25" t="n">
        <f aca="false">F24-G24</f>
        <v>27287500</v>
      </c>
      <c r="I24" s="25" t="n">
        <f aca="false">G24/E24</f>
        <v>959.810874704492</v>
      </c>
    </row>
    <row r="25" customFormat="false" ht="15" hidden="false" customHeight="false" outlineLevel="0" collapsed="false">
      <c r="A25" s="17" t="s">
        <v>82</v>
      </c>
      <c r="B25" s="18" t="n">
        <v>31</v>
      </c>
      <c r="C25" s="18" t="n">
        <v>25</v>
      </c>
      <c r="D25" s="19" t="n">
        <v>725</v>
      </c>
      <c r="E25" s="20" t="n">
        <f aca="false">B25*D25</f>
        <v>22475</v>
      </c>
      <c r="F25" s="21" t="n">
        <f aca="false">E25*$B$17</f>
        <v>50568750</v>
      </c>
      <c r="G25" s="21" t="n">
        <v>20900000</v>
      </c>
      <c r="H25" s="21" t="n">
        <f aca="false">F25-G25</f>
        <v>29668750</v>
      </c>
      <c r="I25" s="21" t="n">
        <f aca="false">G25/E25</f>
        <v>929.92213570634</v>
      </c>
    </row>
    <row r="26" customFormat="false" ht="15" hidden="false" customHeight="false" outlineLevel="0" collapsed="false">
      <c r="A26" s="22" t="s">
        <v>83</v>
      </c>
      <c r="B26" s="7" t="n">
        <v>30</v>
      </c>
      <c r="C26" s="7" t="n">
        <v>26</v>
      </c>
      <c r="D26" s="23" t="n">
        <v>730</v>
      </c>
      <c r="E26" s="24" t="n">
        <f aca="false">B26*D26</f>
        <v>21900</v>
      </c>
      <c r="F26" s="25" t="n">
        <f aca="false">E26*$B$17</f>
        <v>49275000</v>
      </c>
      <c r="G26" s="25" t="n">
        <v>20700000</v>
      </c>
      <c r="H26" s="25" t="n">
        <f aca="false">F26-G26</f>
        <v>28575000</v>
      </c>
      <c r="I26" s="25" t="n">
        <f aca="false">G26/E26</f>
        <v>945.205479452055</v>
      </c>
    </row>
    <row r="27" customFormat="false" ht="15" hidden="false" customHeight="false" outlineLevel="0" collapsed="false">
      <c r="A27" s="17" t="s">
        <v>84</v>
      </c>
      <c r="B27" s="18" t="n">
        <v>31</v>
      </c>
      <c r="C27" s="18" t="n">
        <v>26</v>
      </c>
      <c r="D27" s="19" t="n">
        <v>715</v>
      </c>
      <c r="E27" s="20" t="n">
        <f aca="false">B27*D27</f>
        <v>22165</v>
      </c>
      <c r="F27" s="21" t="n">
        <f aca="false">E27*$B$17</f>
        <v>49871250</v>
      </c>
      <c r="G27" s="21" t="n">
        <v>20850000</v>
      </c>
      <c r="H27" s="21" t="n">
        <f aca="false">F27-G27</f>
        <v>29021250</v>
      </c>
      <c r="I27" s="21" t="n">
        <f aca="false">G27/E27</f>
        <v>940.672230994812</v>
      </c>
    </row>
    <row r="28" customFormat="false" ht="15" hidden="false" customHeight="false" outlineLevel="0" collapsed="false">
      <c r="A28" s="22" t="s">
        <v>85</v>
      </c>
      <c r="B28" s="7" t="n">
        <v>31</v>
      </c>
      <c r="C28" s="7" t="n">
        <v>25</v>
      </c>
      <c r="D28" s="23" t="n">
        <v>690</v>
      </c>
      <c r="E28" s="24" t="n">
        <f aca="false">B28*D28</f>
        <v>21390</v>
      </c>
      <c r="F28" s="25" t="n">
        <f aca="false">E28*$B$17</f>
        <v>48127500</v>
      </c>
      <c r="G28" s="25" t="n">
        <v>20400000</v>
      </c>
      <c r="H28" s="25" t="n">
        <f aca="false">F28-G28</f>
        <v>27727500</v>
      </c>
      <c r="I28" s="25" t="n">
        <f aca="false">G28/E28</f>
        <v>953.716690042076</v>
      </c>
    </row>
    <row r="29" customFormat="false" ht="15" hidden="false" customHeight="false" outlineLevel="0" collapsed="false">
      <c r="A29" s="17" t="s">
        <v>86</v>
      </c>
      <c r="B29" s="18" t="n">
        <v>30</v>
      </c>
      <c r="C29" s="18" t="n">
        <v>25</v>
      </c>
      <c r="D29" s="19" t="n">
        <v>700</v>
      </c>
      <c r="E29" s="20" t="n">
        <f aca="false">B29*D29</f>
        <v>21000</v>
      </c>
      <c r="F29" s="21" t="n">
        <f aca="false">E29*$B$17</f>
        <v>47250000</v>
      </c>
      <c r="G29" s="21" t="n">
        <v>20250000</v>
      </c>
      <c r="H29" s="21" t="n">
        <f aca="false">F29-G29</f>
        <v>27000000</v>
      </c>
      <c r="I29" s="21" t="n">
        <f aca="false">G29/E29</f>
        <v>964.285714285714</v>
      </c>
    </row>
    <row r="30" customFormat="false" ht="15" hidden="false" customHeight="false" outlineLevel="0" collapsed="false">
      <c r="A30" s="22" t="s">
        <v>87</v>
      </c>
      <c r="B30" s="7" t="n">
        <v>31</v>
      </c>
      <c r="C30" s="7" t="n">
        <v>25</v>
      </c>
      <c r="D30" s="23" t="n">
        <v>720</v>
      </c>
      <c r="E30" s="24" t="n">
        <f aca="false">B30*D30</f>
        <v>22320</v>
      </c>
      <c r="F30" s="25" t="n">
        <f aca="false">E30*$B$17</f>
        <v>50220000</v>
      </c>
      <c r="G30" s="25" t="n">
        <v>20800000</v>
      </c>
      <c r="H30" s="25" t="n">
        <f aca="false">F30-G30</f>
        <v>29420000</v>
      </c>
      <c r="I30" s="25" t="n">
        <f aca="false">G30/E30</f>
        <v>931.899641577061</v>
      </c>
    </row>
    <row r="31" customFormat="false" ht="15" hidden="false" customHeight="false" outlineLevel="0" collapsed="false">
      <c r="A31" s="17" t="s">
        <v>88</v>
      </c>
      <c r="B31" s="18" t="n">
        <v>30</v>
      </c>
      <c r="C31" s="18" t="n">
        <v>25</v>
      </c>
      <c r="D31" s="19" t="n">
        <v>715</v>
      </c>
      <c r="E31" s="20" t="n">
        <f aca="false">B31*D31</f>
        <v>21450</v>
      </c>
      <c r="F31" s="21" t="n">
        <f aca="false">E31*$B$17</f>
        <v>48262500</v>
      </c>
      <c r="G31" s="21" t="n">
        <v>20500000</v>
      </c>
      <c r="H31" s="21" t="n">
        <f aca="false">F31-G31</f>
        <v>27762500</v>
      </c>
      <c r="I31" s="21" t="n">
        <f aca="false">G31/E31</f>
        <v>955.710955710956</v>
      </c>
    </row>
    <row r="32" customFormat="false" ht="15" hidden="false" customHeight="false" outlineLevel="0" collapsed="false">
      <c r="A32" s="22" t="s">
        <v>89</v>
      </c>
      <c r="B32" s="7" t="n">
        <v>31</v>
      </c>
      <c r="C32" s="7" t="n">
        <v>25</v>
      </c>
      <c r="D32" s="23" t="n">
        <v>710</v>
      </c>
      <c r="E32" s="24" t="n">
        <f aca="false">B32*D32</f>
        <v>22010</v>
      </c>
      <c r="F32" s="25" t="n">
        <f aca="false">E32*$B$17</f>
        <v>49522500</v>
      </c>
      <c r="G32" s="25" t="n">
        <v>20950000</v>
      </c>
      <c r="H32" s="25" t="n">
        <f aca="false">F32-G32</f>
        <v>28572500</v>
      </c>
      <c r="I32" s="25" t="n">
        <f aca="false">G32/E32</f>
        <v>951.84007269423</v>
      </c>
    </row>
    <row r="33" customFormat="false" ht="15" hidden="false" customHeight="false" outlineLevel="0" collapsed="false">
      <c r="A33" s="26" t="s">
        <v>90</v>
      </c>
      <c r="B33" s="27" t="n">
        <f aca="false">SUM(B21:B32)</f>
        <v>365</v>
      </c>
      <c r="C33" s="27" t="n">
        <f aca="false">AVERAGE(C21:C32)</f>
        <v>25</v>
      </c>
      <c r="D33" s="28" t="n">
        <f aca="false">AVERAGE(D21:D32)</f>
        <v>707.916666666667</v>
      </c>
      <c r="E33" s="29" t="n">
        <f aca="false">SUM(E21:E32)</f>
        <v>258410</v>
      </c>
      <c r="F33" s="30" t="n">
        <f aca="false">SUM(F21:F32)</f>
        <v>581422500</v>
      </c>
      <c r="G33" s="30" t="n">
        <f aca="false">SUM(G21:G32)</f>
        <v>245400000</v>
      </c>
      <c r="H33" s="30" t="n">
        <f aca="false">SUM(H21:H32)</f>
        <v>336022500</v>
      </c>
      <c r="I33" s="30" t="n">
        <f aca="false">G33/E33</f>
        <v>949.65365117449</v>
      </c>
    </row>
  </sheetData>
  <mergeCells count="3">
    <mergeCell ref="A4:D4"/>
    <mergeCell ref="F4:I4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N4" activeCellId="0" sqref="N4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91"/>
    <col collapsed="false" customWidth="true" hidden="false" outlineLevel="0" max="3" min="2" style="0" width="20"/>
    <col collapsed="false" customWidth="true" hidden="false" outlineLevel="0" max="5" min="4" style="0" width="19"/>
    <col collapsed="false" customWidth="true" hidden="false" outlineLevel="0" max="6" min="6" style="0" width="15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17"/>
    <col collapsed="false" customWidth="true" hidden="false" outlineLevel="0" max="12" min="12" style="0" width="38"/>
    <col collapsed="false" customWidth="true" hidden="false" outlineLevel="0" max="13" min="13" style="0" width="16.29"/>
  </cols>
  <sheetData>
    <row r="1" customFormat="false" ht="21" hidden="false" customHeight="tru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31" t="s">
        <v>93</v>
      </c>
      <c r="B4" s="31" t="s">
        <v>94</v>
      </c>
      <c r="C4" s="31" t="s">
        <v>95</v>
      </c>
      <c r="D4" s="31" t="s">
        <v>96</v>
      </c>
      <c r="E4" s="31" t="s">
        <v>97</v>
      </c>
      <c r="F4" s="31" t="s">
        <v>98</v>
      </c>
      <c r="G4" s="31" t="s">
        <v>99</v>
      </c>
      <c r="H4" s="31" t="s">
        <v>100</v>
      </c>
      <c r="I4" s="31" t="s">
        <v>101</v>
      </c>
      <c r="J4" s="31" t="s">
        <v>102</v>
      </c>
      <c r="K4" s="31" t="s">
        <v>103</v>
      </c>
      <c r="L4" s="31" t="s">
        <v>104</v>
      </c>
      <c r="M4" s="32" t="s">
        <v>105</v>
      </c>
    </row>
    <row r="5" customFormat="false" ht="15" hidden="false" customHeight="false" outlineLevel="0" collapsed="false">
      <c r="A5" s="18" t="s">
        <v>106</v>
      </c>
      <c r="B5" s="17" t="s">
        <v>107</v>
      </c>
      <c r="C5" s="17" t="s">
        <v>108</v>
      </c>
      <c r="D5" s="18" t="s">
        <v>109</v>
      </c>
      <c r="E5" s="18" t="s">
        <v>110</v>
      </c>
      <c r="F5" s="33" t="n">
        <v>38</v>
      </c>
      <c r="G5" s="18" t="s">
        <v>111</v>
      </c>
      <c r="H5" s="33" t="n">
        <v>2</v>
      </c>
      <c r="I5" s="33" t="n">
        <v>68</v>
      </c>
      <c r="J5" s="17" t="s">
        <v>112</v>
      </c>
      <c r="K5" s="17" t="s">
        <v>113</v>
      </c>
      <c r="L5" s="17" t="s">
        <v>114</v>
      </c>
      <c r="M5" s="0" t="s">
        <v>115</v>
      </c>
    </row>
    <row r="6" customFormat="false" ht="15" hidden="false" customHeight="false" outlineLevel="0" collapsed="false">
      <c r="A6" s="7" t="s">
        <v>116</v>
      </c>
      <c r="B6" s="22" t="s">
        <v>117</v>
      </c>
      <c r="C6" s="22" t="s">
        <v>108</v>
      </c>
      <c r="D6" s="7" t="s">
        <v>109</v>
      </c>
      <c r="E6" s="7" t="s">
        <v>110</v>
      </c>
      <c r="F6" s="34" t="n">
        <v>40</v>
      </c>
      <c r="G6" s="7" t="s">
        <v>118</v>
      </c>
      <c r="H6" s="34" t="n">
        <v>3</v>
      </c>
      <c r="I6" s="34" t="n">
        <v>76</v>
      </c>
      <c r="J6" s="22" t="s">
        <v>112</v>
      </c>
      <c r="K6" s="22" t="s">
        <v>119</v>
      </c>
      <c r="L6" s="22" t="s">
        <v>114</v>
      </c>
      <c r="M6" s="0" t="s">
        <v>120</v>
      </c>
    </row>
    <row r="7" customFormat="false" ht="15" hidden="false" customHeight="false" outlineLevel="0" collapsed="false">
      <c r="A7" s="18" t="s">
        <v>121</v>
      </c>
      <c r="B7" s="17" t="s">
        <v>122</v>
      </c>
      <c r="C7" s="17" t="s">
        <v>108</v>
      </c>
      <c r="D7" s="18" t="s">
        <v>109</v>
      </c>
      <c r="E7" s="18" t="s">
        <v>110</v>
      </c>
      <c r="F7" s="33" t="n">
        <v>42</v>
      </c>
      <c r="G7" s="18" t="s">
        <v>111</v>
      </c>
      <c r="H7" s="33" t="n">
        <v>4</v>
      </c>
      <c r="I7" s="33" t="n">
        <v>84</v>
      </c>
      <c r="J7" s="17" t="s">
        <v>112</v>
      </c>
      <c r="K7" s="17" t="s">
        <v>123</v>
      </c>
      <c r="L7" s="17" t="s">
        <v>114</v>
      </c>
      <c r="M7" s="0" t="s">
        <v>124</v>
      </c>
    </row>
    <row r="8" customFormat="false" ht="15" hidden="false" customHeight="false" outlineLevel="0" collapsed="false">
      <c r="A8" s="7" t="s">
        <v>125</v>
      </c>
      <c r="B8" s="22" t="s">
        <v>126</v>
      </c>
      <c r="C8" s="22" t="s">
        <v>108</v>
      </c>
      <c r="D8" s="7" t="s">
        <v>109</v>
      </c>
      <c r="E8" s="7" t="s">
        <v>110</v>
      </c>
      <c r="F8" s="34" t="n">
        <v>44</v>
      </c>
      <c r="G8" s="7" t="s">
        <v>118</v>
      </c>
      <c r="H8" s="34" t="n">
        <v>1</v>
      </c>
      <c r="I8" s="34" t="n">
        <v>92</v>
      </c>
      <c r="J8" s="22" t="s">
        <v>112</v>
      </c>
      <c r="K8" s="22" t="s">
        <v>127</v>
      </c>
      <c r="L8" s="22" t="s">
        <v>114</v>
      </c>
      <c r="M8" s="0" t="s">
        <v>128</v>
      </c>
    </row>
    <row r="9" customFormat="false" ht="15" hidden="false" customHeight="false" outlineLevel="0" collapsed="false">
      <c r="A9" s="18" t="s">
        <v>129</v>
      </c>
      <c r="B9" s="17" t="s">
        <v>130</v>
      </c>
      <c r="C9" s="17" t="s">
        <v>108</v>
      </c>
      <c r="D9" s="18" t="s">
        <v>109</v>
      </c>
      <c r="E9" s="18" t="s">
        <v>110</v>
      </c>
      <c r="F9" s="33" t="n">
        <v>46</v>
      </c>
      <c r="G9" s="18" t="s">
        <v>111</v>
      </c>
      <c r="H9" s="33" t="n">
        <v>2</v>
      </c>
      <c r="I9" s="33" t="n">
        <v>100</v>
      </c>
      <c r="J9" s="17" t="s">
        <v>112</v>
      </c>
      <c r="K9" s="17" t="s">
        <v>131</v>
      </c>
      <c r="L9" s="17" t="s">
        <v>114</v>
      </c>
      <c r="M9" s="0" t="s">
        <v>132</v>
      </c>
    </row>
    <row r="10" customFormat="false" ht="15" hidden="false" customHeight="false" outlineLevel="0" collapsed="false">
      <c r="A10" s="7" t="s">
        <v>133</v>
      </c>
      <c r="B10" s="22" t="s">
        <v>134</v>
      </c>
      <c r="C10" s="22" t="s">
        <v>108</v>
      </c>
      <c r="D10" s="7" t="s">
        <v>109</v>
      </c>
      <c r="E10" s="7" t="s">
        <v>110</v>
      </c>
      <c r="F10" s="34" t="n">
        <v>48</v>
      </c>
      <c r="G10" s="7" t="s">
        <v>118</v>
      </c>
      <c r="H10" s="34" t="n">
        <v>3</v>
      </c>
      <c r="I10" s="34" t="n">
        <v>108</v>
      </c>
      <c r="J10" s="22" t="s">
        <v>112</v>
      </c>
      <c r="K10" s="22" t="s">
        <v>135</v>
      </c>
      <c r="L10" s="22" t="s">
        <v>114</v>
      </c>
      <c r="M10" s="0" t="s">
        <v>136</v>
      </c>
    </row>
    <row r="11" customFormat="false" ht="15" hidden="false" customHeight="false" outlineLevel="0" collapsed="false">
      <c r="A11" s="18" t="s">
        <v>137</v>
      </c>
      <c r="B11" s="17" t="s">
        <v>138</v>
      </c>
      <c r="C11" s="17" t="s">
        <v>108</v>
      </c>
      <c r="D11" s="18" t="s">
        <v>109</v>
      </c>
      <c r="E11" s="18" t="s">
        <v>110</v>
      </c>
      <c r="F11" s="33" t="n">
        <v>50</v>
      </c>
      <c r="G11" s="18" t="s">
        <v>111</v>
      </c>
      <c r="H11" s="33" t="n">
        <v>4</v>
      </c>
      <c r="I11" s="33" t="n">
        <v>116</v>
      </c>
      <c r="J11" s="17" t="s">
        <v>112</v>
      </c>
      <c r="K11" s="17" t="s">
        <v>139</v>
      </c>
      <c r="L11" s="17" t="s">
        <v>114</v>
      </c>
      <c r="M11" s="0" t="s">
        <v>140</v>
      </c>
    </row>
    <row r="12" customFormat="false" ht="15" hidden="false" customHeight="false" outlineLevel="0" collapsed="false">
      <c r="A12" s="7" t="s">
        <v>141</v>
      </c>
      <c r="B12" s="22" t="s">
        <v>142</v>
      </c>
      <c r="C12" s="22" t="s">
        <v>108</v>
      </c>
      <c r="D12" s="7" t="s">
        <v>109</v>
      </c>
      <c r="E12" s="7" t="s">
        <v>110</v>
      </c>
      <c r="F12" s="34" t="n">
        <v>52</v>
      </c>
      <c r="G12" s="7" t="s">
        <v>118</v>
      </c>
      <c r="H12" s="34" t="n">
        <v>1</v>
      </c>
      <c r="I12" s="34" t="n">
        <v>124</v>
      </c>
      <c r="J12" s="22" t="s">
        <v>112</v>
      </c>
      <c r="K12" s="22" t="s">
        <v>143</v>
      </c>
      <c r="L12" s="22" t="s">
        <v>114</v>
      </c>
      <c r="M12" s="0" t="s">
        <v>144</v>
      </c>
    </row>
    <row r="13" customFormat="false" ht="15" hidden="false" customHeight="false" outlineLevel="0" collapsed="false">
      <c r="A13" s="18" t="s">
        <v>145</v>
      </c>
      <c r="B13" s="17" t="s">
        <v>146</v>
      </c>
      <c r="C13" s="17" t="s">
        <v>108</v>
      </c>
      <c r="D13" s="18" t="s">
        <v>109</v>
      </c>
      <c r="E13" s="18" t="s">
        <v>110</v>
      </c>
      <c r="F13" s="33" t="n">
        <v>54</v>
      </c>
      <c r="G13" s="18" t="s">
        <v>111</v>
      </c>
      <c r="H13" s="33" t="n">
        <v>2</v>
      </c>
      <c r="I13" s="33" t="n">
        <v>132</v>
      </c>
      <c r="J13" s="17" t="s">
        <v>112</v>
      </c>
      <c r="K13" s="17" t="s">
        <v>147</v>
      </c>
      <c r="L13" s="17" t="s">
        <v>114</v>
      </c>
      <c r="M13" s="0" t="s">
        <v>148</v>
      </c>
    </row>
    <row r="14" customFormat="false" ht="15" hidden="false" customHeight="false" outlineLevel="0" collapsed="false">
      <c r="A14" s="7" t="s">
        <v>149</v>
      </c>
      <c r="B14" s="22" t="s">
        <v>150</v>
      </c>
      <c r="C14" s="22" t="s">
        <v>108</v>
      </c>
      <c r="D14" s="7" t="s">
        <v>109</v>
      </c>
      <c r="E14" s="7" t="s">
        <v>110</v>
      </c>
      <c r="F14" s="34" t="n">
        <v>56</v>
      </c>
      <c r="G14" s="7" t="s">
        <v>118</v>
      </c>
      <c r="H14" s="34" t="n">
        <v>3</v>
      </c>
      <c r="I14" s="34" t="n">
        <v>140</v>
      </c>
      <c r="J14" s="22" t="s">
        <v>112</v>
      </c>
      <c r="K14" s="22" t="s">
        <v>151</v>
      </c>
      <c r="L14" s="22" t="s">
        <v>114</v>
      </c>
      <c r="M14" s="0" t="s">
        <v>152</v>
      </c>
    </row>
    <row r="15" customFormat="false" ht="15" hidden="false" customHeight="false" outlineLevel="0" collapsed="false">
      <c r="A15" s="18" t="s">
        <v>153</v>
      </c>
      <c r="B15" s="17" t="s">
        <v>154</v>
      </c>
      <c r="C15" s="17" t="s">
        <v>108</v>
      </c>
      <c r="D15" s="18" t="s">
        <v>109</v>
      </c>
      <c r="E15" s="18" t="s">
        <v>110</v>
      </c>
      <c r="F15" s="33" t="n">
        <v>58</v>
      </c>
      <c r="G15" s="18" t="s">
        <v>111</v>
      </c>
      <c r="H15" s="33" t="n">
        <v>4</v>
      </c>
      <c r="I15" s="33" t="n">
        <v>148</v>
      </c>
      <c r="J15" s="17" t="s">
        <v>112</v>
      </c>
      <c r="K15" s="17" t="s">
        <v>155</v>
      </c>
      <c r="L15" s="17" t="s">
        <v>114</v>
      </c>
      <c r="M15" s="0" t="s">
        <v>156</v>
      </c>
    </row>
    <row r="16" customFormat="false" ht="15" hidden="false" customHeight="false" outlineLevel="0" collapsed="false">
      <c r="A16" s="7" t="s">
        <v>157</v>
      </c>
      <c r="B16" s="22" t="s">
        <v>158</v>
      </c>
      <c r="C16" s="22" t="s">
        <v>108</v>
      </c>
      <c r="D16" s="7" t="s">
        <v>109</v>
      </c>
      <c r="E16" s="7" t="s">
        <v>110</v>
      </c>
      <c r="F16" s="34" t="n">
        <v>36</v>
      </c>
      <c r="G16" s="7" t="s">
        <v>118</v>
      </c>
      <c r="H16" s="34" t="n">
        <v>1</v>
      </c>
      <c r="I16" s="34" t="n">
        <v>156</v>
      </c>
      <c r="J16" s="22" t="s">
        <v>112</v>
      </c>
      <c r="K16" s="22" t="s">
        <v>159</v>
      </c>
      <c r="L16" s="22" t="s">
        <v>114</v>
      </c>
      <c r="M16" s="0" t="s">
        <v>160</v>
      </c>
    </row>
    <row r="17" customFormat="false" ht="15" hidden="false" customHeight="false" outlineLevel="0" collapsed="false">
      <c r="A17" s="18" t="s">
        <v>161</v>
      </c>
      <c r="B17" s="17" t="s">
        <v>162</v>
      </c>
      <c r="C17" s="17" t="s">
        <v>108</v>
      </c>
      <c r="D17" s="18" t="s">
        <v>109</v>
      </c>
      <c r="E17" s="18" t="s">
        <v>110</v>
      </c>
      <c r="F17" s="33" t="n">
        <v>38</v>
      </c>
      <c r="G17" s="18" t="s">
        <v>111</v>
      </c>
      <c r="H17" s="33" t="n">
        <v>2</v>
      </c>
      <c r="I17" s="33" t="n">
        <v>164</v>
      </c>
      <c r="J17" s="17" t="s">
        <v>112</v>
      </c>
      <c r="K17" s="17" t="s">
        <v>163</v>
      </c>
      <c r="L17" s="17" t="s">
        <v>114</v>
      </c>
      <c r="M17" s="0" t="s">
        <v>164</v>
      </c>
    </row>
    <row r="18" customFormat="false" ht="15" hidden="false" customHeight="false" outlineLevel="0" collapsed="false">
      <c r="A18" s="7" t="s">
        <v>165</v>
      </c>
      <c r="B18" s="22" t="s">
        <v>166</v>
      </c>
      <c r="C18" s="22" t="s">
        <v>108</v>
      </c>
      <c r="D18" s="7" t="s">
        <v>109</v>
      </c>
      <c r="E18" s="7" t="s">
        <v>110</v>
      </c>
      <c r="F18" s="34" t="n">
        <v>40</v>
      </c>
      <c r="G18" s="7" t="s">
        <v>118</v>
      </c>
      <c r="H18" s="34" t="n">
        <v>3</v>
      </c>
      <c r="I18" s="34" t="n">
        <v>172</v>
      </c>
      <c r="J18" s="22" t="s">
        <v>112</v>
      </c>
      <c r="K18" s="22" t="s">
        <v>167</v>
      </c>
      <c r="L18" s="22" t="s">
        <v>114</v>
      </c>
      <c r="M18" s="0" t="s">
        <v>168</v>
      </c>
    </row>
    <row r="19" customFormat="false" ht="15" hidden="false" customHeight="false" outlineLevel="0" collapsed="false">
      <c r="A19" s="18" t="s">
        <v>169</v>
      </c>
      <c r="B19" s="17" t="s">
        <v>170</v>
      </c>
      <c r="C19" s="17" t="s">
        <v>108</v>
      </c>
      <c r="D19" s="18" t="s">
        <v>109</v>
      </c>
      <c r="E19" s="18" t="s">
        <v>110</v>
      </c>
      <c r="F19" s="33" t="n">
        <v>42</v>
      </c>
      <c r="G19" s="18" t="s">
        <v>111</v>
      </c>
      <c r="H19" s="33" t="n">
        <v>4</v>
      </c>
      <c r="I19" s="33" t="n">
        <v>180</v>
      </c>
      <c r="J19" s="17" t="s">
        <v>112</v>
      </c>
      <c r="K19" s="17" t="s">
        <v>171</v>
      </c>
      <c r="L19" s="17" t="s">
        <v>114</v>
      </c>
      <c r="M19" s="0" t="s">
        <v>172</v>
      </c>
    </row>
    <row r="20" customFormat="false" ht="15" hidden="false" customHeight="false" outlineLevel="0" collapsed="false">
      <c r="A20" s="7" t="s">
        <v>173</v>
      </c>
      <c r="B20" s="22" t="s">
        <v>174</v>
      </c>
      <c r="C20" s="22" t="s">
        <v>108</v>
      </c>
      <c r="D20" s="7" t="s">
        <v>109</v>
      </c>
      <c r="E20" s="7" t="s">
        <v>110</v>
      </c>
      <c r="F20" s="34" t="n">
        <v>44</v>
      </c>
      <c r="G20" s="7" t="s">
        <v>118</v>
      </c>
      <c r="H20" s="34" t="n">
        <v>1</v>
      </c>
      <c r="I20" s="34" t="n">
        <v>188</v>
      </c>
      <c r="J20" s="22" t="s">
        <v>112</v>
      </c>
      <c r="K20" s="22" t="s">
        <v>175</v>
      </c>
      <c r="L20" s="22" t="s">
        <v>114</v>
      </c>
      <c r="M20" s="0" t="s">
        <v>176</v>
      </c>
    </row>
    <row r="21" customFormat="false" ht="15" hidden="false" customHeight="false" outlineLevel="0" collapsed="false">
      <c r="A21" s="18" t="s">
        <v>177</v>
      </c>
      <c r="B21" s="17" t="s">
        <v>178</v>
      </c>
      <c r="C21" s="17" t="s">
        <v>108</v>
      </c>
      <c r="D21" s="18" t="s">
        <v>109</v>
      </c>
      <c r="E21" s="18" t="s">
        <v>110</v>
      </c>
      <c r="F21" s="33" t="n">
        <v>46</v>
      </c>
      <c r="G21" s="18" t="s">
        <v>111</v>
      </c>
      <c r="H21" s="33" t="n">
        <v>2</v>
      </c>
      <c r="I21" s="33" t="n">
        <v>196</v>
      </c>
      <c r="J21" s="17" t="s">
        <v>112</v>
      </c>
      <c r="K21" s="17" t="s">
        <v>179</v>
      </c>
      <c r="L21" s="17" t="s">
        <v>114</v>
      </c>
      <c r="M21" s="0" t="s">
        <v>180</v>
      </c>
    </row>
    <row r="22" customFormat="false" ht="15" hidden="false" customHeight="false" outlineLevel="0" collapsed="false">
      <c r="A22" s="7" t="s">
        <v>181</v>
      </c>
      <c r="B22" s="22" t="s">
        <v>182</v>
      </c>
      <c r="C22" s="22" t="s">
        <v>108</v>
      </c>
      <c r="D22" s="7" t="s">
        <v>109</v>
      </c>
      <c r="E22" s="7" t="s">
        <v>110</v>
      </c>
      <c r="F22" s="34" t="n">
        <v>48</v>
      </c>
      <c r="G22" s="7" t="s">
        <v>118</v>
      </c>
      <c r="H22" s="34" t="n">
        <v>3</v>
      </c>
      <c r="I22" s="34" t="n">
        <v>204</v>
      </c>
      <c r="J22" s="22" t="s">
        <v>112</v>
      </c>
      <c r="K22" s="22" t="s">
        <v>183</v>
      </c>
      <c r="L22" s="22" t="s">
        <v>114</v>
      </c>
      <c r="M22" s="0" t="s">
        <v>184</v>
      </c>
    </row>
    <row r="23" customFormat="false" ht="15" hidden="false" customHeight="false" outlineLevel="0" collapsed="false">
      <c r="A23" s="18" t="s">
        <v>185</v>
      </c>
      <c r="B23" s="17" t="s">
        <v>186</v>
      </c>
      <c r="C23" s="17" t="s">
        <v>108</v>
      </c>
      <c r="D23" s="18" t="s">
        <v>109</v>
      </c>
      <c r="E23" s="18" t="s">
        <v>110</v>
      </c>
      <c r="F23" s="33" t="n">
        <v>50</v>
      </c>
      <c r="G23" s="18" t="s">
        <v>111</v>
      </c>
      <c r="H23" s="33" t="n">
        <v>4</v>
      </c>
      <c r="I23" s="33" t="n">
        <v>212</v>
      </c>
      <c r="J23" s="17" t="s">
        <v>112</v>
      </c>
      <c r="K23" s="17" t="s">
        <v>187</v>
      </c>
      <c r="L23" s="17" t="s">
        <v>114</v>
      </c>
      <c r="M23" s="0" t="s">
        <v>188</v>
      </c>
    </row>
    <row r="24" customFormat="false" ht="15" hidden="false" customHeight="false" outlineLevel="0" collapsed="false">
      <c r="A24" s="7" t="s">
        <v>189</v>
      </c>
      <c r="B24" s="22" t="s">
        <v>190</v>
      </c>
      <c r="C24" s="22" t="s">
        <v>108</v>
      </c>
      <c r="D24" s="7" t="s">
        <v>109</v>
      </c>
      <c r="E24" s="7" t="s">
        <v>110</v>
      </c>
      <c r="F24" s="34" t="n">
        <v>52</v>
      </c>
      <c r="G24" s="7" t="s">
        <v>118</v>
      </c>
      <c r="H24" s="34" t="n">
        <v>1</v>
      </c>
      <c r="I24" s="34" t="n">
        <v>220</v>
      </c>
      <c r="J24" s="22" t="s">
        <v>112</v>
      </c>
      <c r="K24" s="22" t="s">
        <v>191</v>
      </c>
      <c r="L24" s="22" t="s">
        <v>114</v>
      </c>
      <c r="M24" s="0" t="s">
        <v>192</v>
      </c>
    </row>
    <row r="25" customFormat="false" ht="15" hidden="false" customHeight="false" outlineLevel="0" collapsed="false">
      <c r="A25" s="18" t="s">
        <v>193</v>
      </c>
      <c r="B25" s="17" t="s">
        <v>194</v>
      </c>
      <c r="C25" s="17" t="s">
        <v>108</v>
      </c>
      <c r="D25" s="18" t="s">
        <v>109</v>
      </c>
      <c r="E25" s="18" t="s">
        <v>110</v>
      </c>
      <c r="F25" s="33" t="n">
        <v>54</v>
      </c>
      <c r="G25" s="18" t="s">
        <v>111</v>
      </c>
      <c r="H25" s="33" t="n">
        <v>2</v>
      </c>
      <c r="I25" s="33" t="n">
        <v>228</v>
      </c>
      <c r="J25" s="17" t="s">
        <v>112</v>
      </c>
      <c r="K25" s="17" t="s">
        <v>195</v>
      </c>
      <c r="L25" s="17" t="s">
        <v>114</v>
      </c>
      <c r="M25" s="0" t="s">
        <v>196</v>
      </c>
    </row>
    <row r="26" customFormat="false" ht="15" hidden="false" customHeight="false" outlineLevel="0" collapsed="false">
      <c r="A26" s="7" t="s">
        <v>197</v>
      </c>
      <c r="B26" s="22" t="s">
        <v>198</v>
      </c>
      <c r="C26" s="22" t="s">
        <v>108</v>
      </c>
      <c r="D26" s="7" t="s">
        <v>109</v>
      </c>
      <c r="E26" s="7" t="s">
        <v>110</v>
      </c>
      <c r="F26" s="34" t="n">
        <v>56</v>
      </c>
      <c r="G26" s="7" t="s">
        <v>118</v>
      </c>
      <c r="H26" s="34" t="n">
        <v>3</v>
      </c>
      <c r="I26" s="34" t="n">
        <v>236</v>
      </c>
      <c r="J26" s="22" t="s">
        <v>112</v>
      </c>
      <c r="K26" s="22" t="s">
        <v>199</v>
      </c>
      <c r="L26" s="22" t="s">
        <v>114</v>
      </c>
      <c r="M26" s="0" t="s">
        <v>200</v>
      </c>
    </row>
    <row r="27" customFormat="false" ht="15" hidden="false" customHeight="false" outlineLevel="0" collapsed="false">
      <c r="A27" s="18" t="s">
        <v>201</v>
      </c>
      <c r="B27" s="17" t="s">
        <v>202</v>
      </c>
      <c r="C27" s="17" t="s">
        <v>108</v>
      </c>
      <c r="D27" s="18" t="s">
        <v>109</v>
      </c>
      <c r="E27" s="18" t="s">
        <v>110</v>
      </c>
      <c r="F27" s="33" t="n">
        <v>58</v>
      </c>
      <c r="G27" s="18" t="s">
        <v>111</v>
      </c>
      <c r="H27" s="33" t="n">
        <v>4</v>
      </c>
      <c r="I27" s="33" t="n">
        <v>244</v>
      </c>
      <c r="J27" s="17" t="s">
        <v>112</v>
      </c>
      <c r="K27" s="17" t="s">
        <v>203</v>
      </c>
      <c r="L27" s="17" t="s">
        <v>114</v>
      </c>
      <c r="M27" s="0" t="s">
        <v>204</v>
      </c>
    </row>
    <row r="28" customFormat="false" ht="15" hidden="false" customHeight="false" outlineLevel="0" collapsed="false">
      <c r="A28" s="7" t="s">
        <v>205</v>
      </c>
      <c r="B28" s="22" t="s">
        <v>206</v>
      </c>
      <c r="C28" s="22" t="s">
        <v>108</v>
      </c>
      <c r="D28" s="7" t="s">
        <v>109</v>
      </c>
      <c r="E28" s="7" t="s">
        <v>110</v>
      </c>
      <c r="F28" s="34" t="n">
        <v>36</v>
      </c>
      <c r="G28" s="7" t="s">
        <v>118</v>
      </c>
      <c r="H28" s="34" t="n">
        <v>1</v>
      </c>
      <c r="I28" s="34" t="n">
        <v>252</v>
      </c>
      <c r="J28" s="22" t="s">
        <v>112</v>
      </c>
      <c r="K28" s="22" t="s">
        <v>207</v>
      </c>
      <c r="L28" s="22" t="s">
        <v>114</v>
      </c>
      <c r="M28" s="0" t="s">
        <v>208</v>
      </c>
    </row>
    <row r="29" customFormat="false" ht="15" hidden="false" customHeight="false" outlineLevel="0" collapsed="false">
      <c r="A29" s="18" t="s">
        <v>209</v>
      </c>
      <c r="B29" s="17" t="s">
        <v>210</v>
      </c>
      <c r="C29" s="17" t="s">
        <v>108</v>
      </c>
      <c r="D29" s="18" t="s">
        <v>109</v>
      </c>
      <c r="E29" s="18" t="s">
        <v>110</v>
      </c>
      <c r="F29" s="33" t="n">
        <v>38</v>
      </c>
      <c r="G29" s="18" t="s">
        <v>111</v>
      </c>
      <c r="H29" s="33" t="n">
        <v>2</v>
      </c>
      <c r="I29" s="33" t="n">
        <v>260</v>
      </c>
      <c r="J29" s="17" t="s">
        <v>112</v>
      </c>
      <c r="K29" s="17" t="s">
        <v>211</v>
      </c>
      <c r="L29" s="17" t="s">
        <v>114</v>
      </c>
      <c r="M29" s="0" t="s">
        <v>212</v>
      </c>
    </row>
    <row r="30" customFormat="false" ht="15" hidden="false" customHeight="false" outlineLevel="0" collapsed="false">
      <c r="A30" s="7" t="s">
        <v>213</v>
      </c>
      <c r="B30" s="22" t="s">
        <v>214</v>
      </c>
      <c r="C30" s="22" t="s">
        <v>215</v>
      </c>
      <c r="D30" s="7" t="s">
        <v>216</v>
      </c>
      <c r="E30" s="7" t="s">
        <v>217</v>
      </c>
      <c r="F30" s="34" t="n">
        <v>53</v>
      </c>
      <c r="G30" s="7" t="s">
        <v>218</v>
      </c>
      <c r="H30" s="34" t="n">
        <v>3</v>
      </c>
      <c r="I30" s="34" t="n">
        <v>0</v>
      </c>
      <c r="J30" s="22" t="s">
        <v>112</v>
      </c>
      <c r="K30" s="22" t="s">
        <v>219</v>
      </c>
      <c r="L30" s="22" t="s">
        <v>220</v>
      </c>
      <c r="M30" s="0" t="s">
        <v>221</v>
      </c>
    </row>
    <row r="31" customFormat="false" ht="15" hidden="false" customHeight="false" outlineLevel="0" collapsed="false">
      <c r="A31" s="18" t="s">
        <v>222</v>
      </c>
      <c r="B31" s="17" t="s">
        <v>223</v>
      </c>
      <c r="C31" s="17" t="s">
        <v>215</v>
      </c>
      <c r="D31" s="18" t="s">
        <v>216</v>
      </c>
      <c r="E31" s="18" t="s">
        <v>217</v>
      </c>
      <c r="F31" s="33" t="n">
        <v>56</v>
      </c>
      <c r="G31" s="18" t="s">
        <v>218</v>
      </c>
      <c r="H31" s="33" t="n">
        <v>4</v>
      </c>
      <c r="I31" s="33" t="n">
        <v>0</v>
      </c>
      <c r="J31" s="17" t="s">
        <v>112</v>
      </c>
      <c r="K31" s="17" t="s">
        <v>224</v>
      </c>
      <c r="L31" s="17" t="s">
        <v>220</v>
      </c>
      <c r="M31" s="0" t="s">
        <v>225</v>
      </c>
    </row>
    <row r="32" customFormat="false" ht="15" hidden="false" customHeight="false" outlineLevel="0" collapsed="false">
      <c r="A32" s="7" t="s">
        <v>226</v>
      </c>
      <c r="B32" s="22" t="s">
        <v>227</v>
      </c>
      <c r="C32" s="22" t="s">
        <v>215</v>
      </c>
      <c r="D32" s="7" t="s">
        <v>216</v>
      </c>
      <c r="E32" s="7" t="s">
        <v>217</v>
      </c>
      <c r="F32" s="34" t="n">
        <v>59</v>
      </c>
      <c r="G32" s="7" t="s">
        <v>218</v>
      </c>
      <c r="H32" s="34" t="n">
        <v>2</v>
      </c>
      <c r="I32" s="34" t="n">
        <v>0</v>
      </c>
      <c r="J32" s="22" t="s">
        <v>112</v>
      </c>
      <c r="K32" s="22" t="s">
        <v>228</v>
      </c>
      <c r="L32" s="22" t="s">
        <v>220</v>
      </c>
      <c r="M32" s="0" t="s">
        <v>229</v>
      </c>
    </row>
    <row r="33" customFormat="false" ht="15" hidden="false" customHeight="false" outlineLevel="0" collapsed="false">
      <c r="A33" s="18" t="s">
        <v>230</v>
      </c>
      <c r="B33" s="17" t="s">
        <v>231</v>
      </c>
      <c r="C33" s="17" t="s">
        <v>215</v>
      </c>
      <c r="D33" s="18" t="s">
        <v>216</v>
      </c>
      <c r="E33" s="18" t="s">
        <v>217</v>
      </c>
      <c r="F33" s="33" t="n">
        <v>62</v>
      </c>
      <c r="G33" s="18" t="s">
        <v>218</v>
      </c>
      <c r="H33" s="33" t="n">
        <v>3</v>
      </c>
      <c r="I33" s="33" t="n">
        <v>0</v>
      </c>
      <c r="J33" s="17" t="s">
        <v>112</v>
      </c>
      <c r="K33" s="17" t="s">
        <v>232</v>
      </c>
      <c r="L33" s="17" t="s">
        <v>220</v>
      </c>
      <c r="M33" s="0" t="s">
        <v>233</v>
      </c>
    </row>
    <row r="34" customFormat="false" ht="15" hidden="false" customHeight="false" outlineLevel="0" collapsed="false">
      <c r="A34" s="7" t="s">
        <v>234</v>
      </c>
      <c r="B34" s="22" t="s">
        <v>235</v>
      </c>
      <c r="C34" s="22" t="s">
        <v>215</v>
      </c>
      <c r="D34" s="7" t="s">
        <v>216</v>
      </c>
      <c r="E34" s="7" t="s">
        <v>217</v>
      </c>
      <c r="F34" s="34" t="n">
        <v>65</v>
      </c>
      <c r="G34" s="7" t="s">
        <v>218</v>
      </c>
      <c r="H34" s="34" t="n">
        <v>4</v>
      </c>
      <c r="I34" s="34" t="n">
        <v>0</v>
      </c>
      <c r="J34" s="22" t="s">
        <v>112</v>
      </c>
      <c r="K34" s="22" t="s">
        <v>236</v>
      </c>
      <c r="L34" s="22" t="s">
        <v>220</v>
      </c>
      <c r="M34" s="0" t="s">
        <v>237</v>
      </c>
    </row>
    <row r="35" customFormat="false" ht="15" hidden="false" customHeight="false" outlineLevel="0" collapsed="false">
      <c r="A35" s="18" t="s">
        <v>238</v>
      </c>
      <c r="B35" s="17" t="s">
        <v>239</v>
      </c>
      <c r="C35" s="17" t="s">
        <v>215</v>
      </c>
      <c r="D35" s="18" t="s">
        <v>216</v>
      </c>
      <c r="E35" s="18" t="s">
        <v>217</v>
      </c>
      <c r="F35" s="33" t="n">
        <v>68</v>
      </c>
      <c r="G35" s="18" t="s">
        <v>218</v>
      </c>
      <c r="H35" s="33" t="n">
        <v>2</v>
      </c>
      <c r="I35" s="33" t="n">
        <v>0</v>
      </c>
      <c r="J35" s="17" t="s">
        <v>112</v>
      </c>
      <c r="K35" s="17" t="s">
        <v>113</v>
      </c>
      <c r="L35" s="17" t="s">
        <v>220</v>
      </c>
      <c r="M35" s="0" t="s">
        <v>240</v>
      </c>
    </row>
    <row r="36" customFormat="false" ht="15" hidden="false" customHeight="false" outlineLevel="0" collapsed="false">
      <c r="A36" s="7" t="s">
        <v>241</v>
      </c>
      <c r="B36" s="22" t="s">
        <v>242</v>
      </c>
      <c r="C36" s="22" t="s">
        <v>243</v>
      </c>
      <c r="D36" s="7" t="s">
        <v>244</v>
      </c>
      <c r="E36" s="7" t="s">
        <v>245</v>
      </c>
      <c r="F36" s="34" t="n">
        <v>13</v>
      </c>
      <c r="G36" s="7" t="s">
        <v>246</v>
      </c>
      <c r="H36" s="34" t="n">
        <v>0</v>
      </c>
      <c r="I36" s="34" t="n">
        <v>0</v>
      </c>
      <c r="J36" s="22" t="s">
        <v>247</v>
      </c>
      <c r="K36" s="22" t="s">
        <v>248</v>
      </c>
      <c r="L36" s="22" t="s">
        <v>249</v>
      </c>
      <c r="M36" s="0" t="s">
        <v>250</v>
      </c>
    </row>
    <row r="37" customFormat="false" ht="15" hidden="false" customHeight="false" outlineLevel="0" collapsed="false">
      <c r="A37" s="18" t="s">
        <v>251</v>
      </c>
      <c r="B37" s="17" t="s">
        <v>252</v>
      </c>
      <c r="C37" s="17" t="s">
        <v>243</v>
      </c>
      <c r="D37" s="18" t="s">
        <v>244</v>
      </c>
      <c r="E37" s="18" t="s">
        <v>245</v>
      </c>
      <c r="F37" s="33" t="n">
        <v>14</v>
      </c>
      <c r="G37" s="18" t="s">
        <v>246</v>
      </c>
      <c r="H37" s="33" t="n">
        <v>0</v>
      </c>
      <c r="I37" s="33" t="n">
        <v>0</v>
      </c>
      <c r="J37" s="17" t="s">
        <v>247</v>
      </c>
      <c r="K37" s="17" t="s">
        <v>253</v>
      </c>
      <c r="L37" s="17" t="s">
        <v>249</v>
      </c>
      <c r="M37" s="0" t="s">
        <v>254</v>
      </c>
    </row>
    <row r="38" customFormat="false" ht="15" hidden="false" customHeight="false" outlineLevel="0" collapsed="false">
      <c r="A38" s="7" t="s">
        <v>255</v>
      </c>
      <c r="B38" s="22" t="s">
        <v>256</v>
      </c>
      <c r="C38" s="22" t="s">
        <v>243</v>
      </c>
      <c r="D38" s="7" t="s">
        <v>244</v>
      </c>
      <c r="E38" s="7" t="s">
        <v>245</v>
      </c>
      <c r="F38" s="34" t="n">
        <v>15</v>
      </c>
      <c r="G38" s="7" t="s">
        <v>246</v>
      </c>
      <c r="H38" s="34" t="n">
        <v>0</v>
      </c>
      <c r="I38" s="34" t="n">
        <v>0</v>
      </c>
      <c r="J38" s="22" t="s">
        <v>247</v>
      </c>
      <c r="K38" s="22" t="s">
        <v>257</v>
      </c>
      <c r="L38" s="22" t="s">
        <v>249</v>
      </c>
      <c r="M38" s="0" t="s">
        <v>258</v>
      </c>
    </row>
    <row r="39" customFormat="false" ht="15" hidden="false" customHeight="false" outlineLevel="0" collapsed="false">
      <c r="A39" s="18" t="s">
        <v>259</v>
      </c>
      <c r="B39" s="17" t="s">
        <v>260</v>
      </c>
      <c r="C39" s="17" t="s">
        <v>243</v>
      </c>
      <c r="D39" s="18" t="s">
        <v>244</v>
      </c>
      <c r="E39" s="18" t="s">
        <v>245</v>
      </c>
      <c r="F39" s="33" t="n">
        <v>16</v>
      </c>
      <c r="G39" s="18" t="s">
        <v>246</v>
      </c>
      <c r="H39" s="33" t="n">
        <v>0</v>
      </c>
      <c r="I39" s="33" t="n">
        <v>0</v>
      </c>
      <c r="J39" s="17" t="s">
        <v>247</v>
      </c>
      <c r="K39" s="17" t="s">
        <v>261</v>
      </c>
      <c r="L39" s="17" t="s">
        <v>249</v>
      </c>
      <c r="M39" s="0" t="s">
        <v>262</v>
      </c>
    </row>
    <row r="40" customFormat="false" ht="15" hidden="false" customHeight="false" outlineLevel="0" collapsed="false">
      <c r="A40" s="7" t="s">
        <v>263</v>
      </c>
      <c r="B40" s="22" t="s">
        <v>264</v>
      </c>
      <c r="C40" s="22" t="s">
        <v>243</v>
      </c>
      <c r="D40" s="7" t="s">
        <v>244</v>
      </c>
      <c r="E40" s="7" t="s">
        <v>245</v>
      </c>
      <c r="F40" s="34" t="n">
        <v>17</v>
      </c>
      <c r="G40" s="7" t="s">
        <v>246</v>
      </c>
      <c r="H40" s="34" t="n">
        <v>0</v>
      </c>
      <c r="I40" s="34" t="n">
        <v>0</v>
      </c>
      <c r="J40" s="22" t="s">
        <v>247</v>
      </c>
      <c r="K40" s="22" t="s">
        <v>265</v>
      </c>
      <c r="L40" s="22" t="s">
        <v>249</v>
      </c>
      <c r="M40" s="0" t="s">
        <v>266</v>
      </c>
    </row>
    <row r="41" customFormat="false" ht="15" hidden="false" customHeight="false" outlineLevel="0" collapsed="false">
      <c r="A41" s="18" t="s">
        <v>267</v>
      </c>
      <c r="B41" s="17" t="s">
        <v>268</v>
      </c>
      <c r="C41" s="17" t="s">
        <v>243</v>
      </c>
      <c r="D41" s="18" t="s">
        <v>244</v>
      </c>
      <c r="E41" s="18" t="s">
        <v>245</v>
      </c>
      <c r="F41" s="33" t="n">
        <v>18</v>
      </c>
      <c r="G41" s="18" t="s">
        <v>246</v>
      </c>
      <c r="H41" s="33" t="n">
        <v>0</v>
      </c>
      <c r="I41" s="33" t="n">
        <v>0</v>
      </c>
      <c r="J41" s="17" t="s">
        <v>247</v>
      </c>
      <c r="K41" s="17" t="s">
        <v>269</v>
      </c>
      <c r="L41" s="17" t="s">
        <v>249</v>
      </c>
      <c r="M41" s="0" t="s">
        <v>270</v>
      </c>
    </row>
    <row r="42" customFormat="false" ht="15" hidden="false" customHeight="false" outlineLevel="0" collapsed="false">
      <c r="A42" s="7" t="s">
        <v>271</v>
      </c>
      <c r="B42" s="22" t="s">
        <v>272</v>
      </c>
      <c r="C42" s="22" t="s">
        <v>243</v>
      </c>
      <c r="D42" s="7" t="s">
        <v>244</v>
      </c>
      <c r="E42" s="7" t="s">
        <v>245</v>
      </c>
      <c r="F42" s="34" t="n">
        <v>19</v>
      </c>
      <c r="G42" s="7" t="s">
        <v>246</v>
      </c>
      <c r="H42" s="34" t="n">
        <v>0</v>
      </c>
      <c r="I42" s="34" t="n">
        <v>0</v>
      </c>
      <c r="J42" s="22" t="s">
        <v>247</v>
      </c>
      <c r="K42" s="22" t="s">
        <v>273</v>
      </c>
      <c r="L42" s="22" t="s">
        <v>249</v>
      </c>
      <c r="M42" s="0" t="s">
        <v>274</v>
      </c>
    </row>
    <row r="43" customFormat="false" ht="15" hidden="false" customHeight="false" outlineLevel="0" collapsed="false">
      <c r="A43" s="18" t="s">
        <v>275</v>
      </c>
      <c r="B43" s="17" t="s">
        <v>276</v>
      </c>
      <c r="C43" s="17" t="s">
        <v>243</v>
      </c>
      <c r="D43" s="18" t="s">
        <v>244</v>
      </c>
      <c r="E43" s="18" t="s">
        <v>245</v>
      </c>
      <c r="F43" s="33" t="n">
        <v>20</v>
      </c>
      <c r="G43" s="18" t="s">
        <v>246</v>
      </c>
      <c r="H43" s="33" t="n">
        <v>0</v>
      </c>
      <c r="I43" s="33" t="n">
        <v>0</v>
      </c>
      <c r="J43" s="17" t="s">
        <v>247</v>
      </c>
      <c r="K43" s="17" t="s">
        <v>277</v>
      </c>
      <c r="L43" s="17" t="s">
        <v>249</v>
      </c>
      <c r="M43" s="0" t="s">
        <v>278</v>
      </c>
    </row>
    <row r="44" customFormat="false" ht="15" hidden="false" customHeight="false" outlineLevel="0" collapsed="false">
      <c r="A44" s="7" t="s">
        <v>279</v>
      </c>
      <c r="B44" s="22" t="s">
        <v>280</v>
      </c>
      <c r="C44" s="22" t="s">
        <v>243</v>
      </c>
      <c r="D44" s="7" t="s">
        <v>244</v>
      </c>
      <c r="E44" s="7" t="s">
        <v>245</v>
      </c>
      <c r="F44" s="34" t="n">
        <v>21</v>
      </c>
      <c r="G44" s="7" t="s">
        <v>246</v>
      </c>
      <c r="H44" s="34" t="n">
        <v>0</v>
      </c>
      <c r="I44" s="34" t="n">
        <v>0</v>
      </c>
      <c r="J44" s="22" t="s">
        <v>247</v>
      </c>
      <c r="K44" s="22" t="s">
        <v>281</v>
      </c>
      <c r="L44" s="22" t="s">
        <v>249</v>
      </c>
      <c r="M44" s="0" t="s">
        <v>282</v>
      </c>
    </row>
    <row r="45" customFormat="false" ht="15" hidden="false" customHeight="false" outlineLevel="0" collapsed="false">
      <c r="A45" s="18" t="s">
        <v>283</v>
      </c>
      <c r="B45" s="17" t="s">
        <v>284</v>
      </c>
      <c r="C45" s="17" t="s">
        <v>243</v>
      </c>
      <c r="D45" s="18" t="s">
        <v>244</v>
      </c>
      <c r="E45" s="18" t="s">
        <v>245</v>
      </c>
      <c r="F45" s="33" t="n">
        <v>22</v>
      </c>
      <c r="G45" s="18" t="s">
        <v>246</v>
      </c>
      <c r="H45" s="33" t="n">
        <v>0</v>
      </c>
      <c r="I45" s="33" t="n">
        <v>0</v>
      </c>
      <c r="J45" s="17" t="s">
        <v>247</v>
      </c>
      <c r="K45" s="17" t="s">
        <v>285</v>
      </c>
      <c r="L45" s="17" t="s">
        <v>249</v>
      </c>
      <c r="M45" s="0" t="s">
        <v>286</v>
      </c>
    </row>
    <row r="46" customFormat="false" ht="15" hidden="false" customHeight="false" outlineLevel="0" collapsed="false">
      <c r="A46" s="7" t="s">
        <v>287</v>
      </c>
      <c r="B46" s="22" t="s">
        <v>288</v>
      </c>
      <c r="C46" s="22" t="s">
        <v>243</v>
      </c>
      <c r="D46" s="7" t="s">
        <v>244</v>
      </c>
      <c r="E46" s="7" t="s">
        <v>245</v>
      </c>
      <c r="F46" s="34" t="n">
        <v>23</v>
      </c>
      <c r="G46" s="7" t="s">
        <v>246</v>
      </c>
      <c r="H46" s="34" t="n">
        <v>0</v>
      </c>
      <c r="I46" s="34" t="n">
        <v>0</v>
      </c>
      <c r="J46" s="22" t="s">
        <v>247</v>
      </c>
      <c r="K46" s="22" t="s">
        <v>289</v>
      </c>
      <c r="L46" s="22" t="s">
        <v>249</v>
      </c>
      <c r="M46" s="0" t="s">
        <v>290</v>
      </c>
    </row>
    <row r="47" customFormat="false" ht="15" hidden="false" customHeight="false" outlineLevel="0" collapsed="false">
      <c r="A47" s="18" t="s">
        <v>291</v>
      </c>
      <c r="B47" s="17" t="s">
        <v>292</v>
      </c>
      <c r="C47" s="17" t="s">
        <v>243</v>
      </c>
      <c r="D47" s="18" t="s">
        <v>244</v>
      </c>
      <c r="E47" s="18" t="s">
        <v>245</v>
      </c>
      <c r="F47" s="33" t="n">
        <v>12</v>
      </c>
      <c r="G47" s="18" t="s">
        <v>246</v>
      </c>
      <c r="H47" s="33" t="n">
        <v>0</v>
      </c>
      <c r="I47" s="33" t="n">
        <v>0</v>
      </c>
      <c r="J47" s="17" t="s">
        <v>247</v>
      </c>
      <c r="K47" s="17" t="s">
        <v>293</v>
      </c>
      <c r="L47" s="17" t="s">
        <v>249</v>
      </c>
      <c r="M47" s="0" t="s">
        <v>294</v>
      </c>
    </row>
    <row r="48" customFormat="false" ht="15" hidden="false" customHeight="false" outlineLevel="0" collapsed="false">
      <c r="A48" s="7" t="s">
        <v>295</v>
      </c>
      <c r="B48" s="22" t="s">
        <v>296</v>
      </c>
      <c r="C48" s="22" t="s">
        <v>243</v>
      </c>
      <c r="D48" s="7" t="s">
        <v>244</v>
      </c>
      <c r="E48" s="7" t="s">
        <v>245</v>
      </c>
      <c r="F48" s="34" t="n">
        <v>13</v>
      </c>
      <c r="G48" s="7" t="s">
        <v>246</v>
      </c>
      <c r="H48" s="34" t="n">
        <v>0</v>
      </c>
      <c r="I48" s="34" t="n">
        <v>0</v>
      </c>
      <c r="J48" s="22" t="s">
        <v>247</v>
      </c>
      <c r="K48" s="22" t="s">
        <v>297</v>
      </c>
      <c r="L48" s="22" t="s">
        <v>249</v>
      </c>
      <c r="M48" s="0" t="s">
        <v>298</v>
      </c>
    </row>
    <row r="49" customFormat="false" ht="15" hidden="false" customHeight="false" outlineLevel="0" collapsed="false">
      <c r="A49" s="18" t="s">
        <v>299</v>
      </c>
      <c r="B49" s="17" t="s">
        <v>300</v>
      </c>
      <c r="C49" s="17" t="s">
        <v>243</v>
      </c>
      <c r="D49" s="18" t="s">
        <v>244</v>
      </c>
      <c r="E49" s="18" t="s">
        <v>245</v>
      </c>
      <c r="F49" s="33" t="n">
        <v>14</v>
      </c>
      <c r="G49" s="18" t="s">
        <v>246</v>
      </c>
      <c r="H49" s="33" t="n">
        <v>0</v>
      </c>
      <c r="I49" s="33" t="n">
        <v>0</v>
      </c>
      <c r="J49" s="17" t="s">
        <v>247</v>
      </c>
      <c r="K49" s="17" t="s">
        <v>301</v>
      </c>
      <c r="L49" s="17" t="s">
        <v>249</v>
      </c>
      <c r="M49" s="0" t="s">
        <v>302</v>
      </c>
    </row>
    <row r="50" customFormat="false" ht="15" hidden="false" customHeight="false" outlineLevel="0" collapsed="false">
      <c r="A50" s="7" t="s">
        <v>303</v>
      </c>
      <c r="B50" s="22" t="s">
        <v>304</v>
      </c>
      <c r="C50" s="22" t="s">
        <v>243</v>
      </c>
      <c r="D50" s="7" t="s">
        <v>244</v>
      </c>
      <c r="E50" s="7" t="s">
        <v>245</v>
      </c>
      <c r="F50" s="34" t="n">
        <v>15</v>
      </c>
      <c r="G50" s="7" t="s">
        <v>246</v>
      </c>
      <c r="H50" s="34" t="n">
        <v>0</v>
      </c>
      <c r="I50" s="34" t="n">
        <v>0</v>
      </c>
      <c r="J50" s="22" t="s">
        <v>247</v>
      </c>
      <c r="K50" s="22" t="s">
        <v>305</v>
      </c>
      <c r="L50" s="22" t="s">
        <v>249</v>
      </c>
      <c r="M50" s="0" t="s">
        <v>306</v>
      </c>
    </row>
    <row r="51" customFormat="false" ht="15" hidden="false" customHeight="false" outlineLevel="0" collapsed="false">
      <c r="A51" s="18" t="s">
        <v>307</v>
      </c>
      <c r="B51" s="17" t="s">
        <v>308</v>
      </c>
      <c r="C51" s="17" t="s">
        <v>243</v>
      </c>
      <c r="D51" s="18" t="s">
        <v>244</v>
      </c>
      <c r="E51" s="18" t="s">
        <v>245</v>
      </c>
      <c r="F51" s="33" t="n">
        <v>16</v>
      </c>
      <c r="G51" s="18" t="s">
        <v>246</v>
      </c>
      <c r="H51" s="33" t="n">
        <v>0</v>
      </c>
      <c r="I51" s="33" t="n">
        <v>0</v>
      </c>
      <c r="J51" s="17" t="s">
        <v>247</v>
      </c>
      <c r="K51" s="17" t="s">
        <v>309</v>
      </c>
      <c r="L51" s="17" t="s">
        <v>249</v>
      </c>
      <c r="M51" s="0" t="s">
        <v>310</v>
      </c>
    </row>
    <row r="52" customFormat="false" ht="15" hidden="false" customHeight="false" outlineLevel="0" collapsed="false">
      <c r="A52" s="7" t="s">
        <v>311</v>
      </c>
      <c r="B52" s="22" t="s">
        <v>312</v>
      </c>
      <c r="C52" s="22" t="s">
        <v>243</v>
      </c>
      <c r="D52" s="7" t="s">
        <v>244</v>
      </c>
      <c r="E52" s="7" t="s">
        <v>245</v>
      </c>
      <c r="F52" s="34" t="n">
        <v>17</v>
      </c>
      <c r="G52" s="7" t="s">
        <v>246</v>
      </c>
      <c r="H52" s="34" t="n">
        <v>0</v>
      </c>
      <c r="I52" s="34" t="n">
        <v>0</v>
      </c>
      <c r="J52" s="22" t="s">
        <v>247</v>
      </c>
      <c r="K52" s="22" t="s">
        <v>313</v>
      </c>
      <c r="L52" s="22" t="s">
        <v>249</v>
      </c>
      <c r="M52" s="0" t="s">
        <v>314</v>
      </c>
    </row>
    <row r="53" customFormat="false" ht="15" hidden="false" customHeight="false" outlineLevel="0" collapsed="false">
      <c r="A53" s="18" t="s">
        <v>315</v>
      </c>
      <c r="B53" s="17" t="s">
        <v>316</v>
      </c>
      <c r="C53" s="17" t="s">
        <v>243</v>
      </c>
      <c r="D53" s="18" t="s">
        <v>244</v>
      </c>
      <c r="E53" s="18" t="s">
        <v>245</v>
      </c>
      <c r="F53" s="33" t="n">
        <v>18</v>
      </c>
      <c r="G53" s="18" t="s">
        <v>246</v>
      </c>
      <c r="H53" s="33" t="n">
        <v>0</v>
      </c>
      <c r="I53" s="33" t="n">
        <v>0</v>
      </c>
      <c r="J53" s="17" t="s">
        <v>247</v>
      </c>
      <c r="K53" s="17" t="s">
        <v>317</v>
      </c>
      <c r="L53" s="17" t="s">
        <v>249</v>
      </c>
      <c r="M53" s="0" t="s">
        <v>318</v>
      </c>
    </row>
    <row r="54" customFormat="false" ht="15" hidden="false" customHeight="false" outlineLevel="0" collapsed="false">
      <c r="A54" s="7" t="s">
        <v>319</v>
      </c>
      <c r="B54" s="22" t="s">
        <v>320</v>
      </c>
      <c r="C54" s="22" t="s">
        <v>321</v>
      </c>
      <c r="D54" s="7" t="s">
        <v>322</v>
      </c>
      <c r="E54" s="7" t="s">
        <v>323</v>
      </c>
      <c r="F54" s="34" t="n">
        <v>3</v>
      </c>
      <c r="G54" s="7" t="s">
        <v>324</v>
      </c>
      <c r="H54" s="34" t="n">
        <v>0</v>
      </c>
      <c r="I54" s="34" t="n">
        <v>0</v>
      </c>
      <c r="J54" s="22" t="s">
        <v>112</v>
      </c>
      <c r="K54" s="22" t="s">
        <v>248</v>
      </c>
      <c r="L54" s="22" t="s">
        <v>325</v>
      </c>
      <c r="M54" s="0" t="s">
        <v>326</v>
      </c>
    </row>
    <row r="55" customFormat="false" ht="15" hidden="false" customHeight="false" outlineLevel="0" collapsed="false">
      <c r="A55" s="18" t="s">
        <v>327</v>
      </c>
      <c r="B55" s="17" t="s">
        <v>328</v>
      </c>
      <c r="C55" s="17" t="s">
        <v>321</v>
      </c>
      <c r="D55" s="18" t="s">
        <v>322</v>
      </c>
      <c r="E55" s="18" t="s">
        <v>323</v>
      </c>
      <c r="F55" s="33" t="n">
        <v>4</v>
      </c>
      <c r="G55" s="18" t="s">
        <v>324</v>
      </c>
      <c r="H55" s="33" t="n">
        <v>0</v>
      </c>
      <c r="I55" s="33" t="n">
        <v>0</v>
      </c>
      <c r="J55" s="17" t="s">
        <v>112</v>
      </c>
      <c r="K55" s="17" t="s">
        <v>253</v>
      </c>
      <c r="L55" s="17" t="s">
        <v>325</v>
      </c>
      <c r="M55" s="0" t="s">
        <v>329</v>
      </c>
    </row>
    <row r="56" customFormat="false" ht="15" hidden="false" customHeight="false" outlineLevel="0" collapsed="false">
      <c r="A56" s="7" t="s">
        <v>330</v>
      </c>
      <c r="B56" s="22" t="s">
        <v>331</v>
      </c>
      <c r="C56" s="22" t="s">
        <v>321</v>
      </c>
      <c r="D56" s="7" t="s">
        <v>322</v>
      </c>
      <c r="E56" s="7" t="s">
        <v>323</v>
      </c>
      <c r="F56" s="34" t="n">
        <v>5</v>
      </c>
      <c r="G56" s="7" t="s">
        <v>324</v>
      </c>
      <c r="H56" s="34" t="n">
        <v>0</v>
      </c>
      <c r="I56" s="34" t="n">
        <v>0</v>
      </c>
      <c r="J56" s="22" t="s">
        <v>112</v>
      </c>
      <c r="K56" s="22" t="s">
        <v>257</v>
      </c>
      <c r="L56" s="22" t="s">
        <v>325</v>
      </c>
      <c r="M56" s="0" t="s">
        <v>332</v>
      </c>
    </row>
    <row r="57" customFormat="false" ht="15" hidden="false" customHeight="false" outlineLevel="0" collapsed="false">
      <c r="A57" s="18" t="s">
        <v>333</v>
      </c>
      <c r="B57" s="17" t="s">
        <v>334</v>
      </c>
      <c r="C57" s="17" t="s">
        <v>321</v>
      </c>
      <c r="D57" s="18" t="s">
        <v>322</v>
      </c>
      <c r="E57" s="18" t="s">
        <v>323</v>
      </c>
      <c r="F57" s="33" t="n">
        <v>6</v>
      </c>
      <c r="G57" s="18" t="s">
        <v>324</v>
      </c>
      <c r="H57" s="33" t="n">
        <v>0</v>
      </c>
      <c r="I57" s="33" t="n">
        <v>0</v>
      </c>
      <c r="J57" s="17" t="s">
        <v>112</v>
      </c>
      <c r="K57" s="17" t="s">
        <v>261</v>
      </c>
      <c r="L57" s="17" t="s">
        <v>325</v>
      </c>
      <c r="M57" s="0" t="s">
        <v>335</v>
      </c>
    </row>
    <row r="58" customFormat="false" ht="15" hidden="false" customHeight="false" outlineLevel="0" collapsed="false">
      <c r="A58" s="7" t="s">
        <v>336</v>
      </c>
      <c r="B58" s="22" t="s">
        <v>337</v>
      </c>
      <c r="C58" s="22" t="s">
        <v>321</v>
      </c>
      <c r="D58" s="7" t="s">
        <v>322</v>
      </c>
      <c r="E58" s="7" t="s">
        <v>323</v>
      </c>
      <c r="F58" s="34" t="n">
        <v>7</v>
      </c>
      <c r="G58" s="7" t="s">
        <v>324</v>
      </c>
      <c r="H58" s="34" t="n">
        <v>0</v>
      </c>
      <c r="I58" s="34" t="n">
        <v>0</v>
      </c>
      <c r="J58" s="22" t="s">
        <v>112</v>
      </c>
      <c r="K58" s="22" t="s">
        <v>265</v>
      </c>
      <c r="L58" s="22" t="s">
        <v>325</v>
      </c>
      <c r="M58" s="0" t="s">
        <v>338</v>
      </c>
    </row>
    <row r="59" customFormat="false" ht="15" hidden="false" customHeight="false" outlineLevel="0" collapsed="false">
      <c r="A59" s="18" t="s">
        <v>339</v>
      </c>
      <c r="B59" s="17" t="s">
        <v>340</v>
      </c>
      <c r="C59" s="17" t="s">
        <v>321</v>
      </c>
      <c r="D59" s="18" t="s">
        <v>322</v>
      </c>
      <c r="E59" s="18" t="s">
        <v>323</v>
      </c>
      <c r="F59" s="33" t="n">
        <v>8</v>
      </c>
      <c r="G59" s="18" t="s">
        <v>324</v>
      </c>
      <c r="H59" s="33" t="n">
        <v>0</v>
      </c>
      <c r="I59" s="33" t="n">
        <v>0</v>
      </c>
      <c r="J59" s="17" t="s">
        <v>112</v>
      </c>
      <c r="K59" s="17" t="s">
        <v>269</v>
      </c>
      <c r="L59" s="17" t="s">
        <v>325</v>
      </c>
      <c r="M59" s="0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97"/>
    <col collapsed="false" customWidth="true" hidden="false" outlineLevel="0" max="2" min="2" style="0" width="17"/>
    <col collapsed="false" customWidth="true" hidden="false" outlineLevel="0" max="5" min="3" style="0" width="15"/>
    <col collapsed="false" customWidth="true" hidden="false" outlineLevel="0" max="6" min="6" style="0" width="16"/>
    <col collapsed="false" customWidth="true" hidden="false" outlineLevel="0" max="7" min="7" style="0" width="45"/>
    <col collapsed="false" customWidth="true" hidden="false" outlineLevel="0" max="15" min="8" style="0" width="15"/>
  </cols>
  <sheetData>
    <row r="1" customFormat="false" ht="21" hidden="false" customHeight="true" outlineLevel="0" collapsed="false">
      <c r="A1" s="1" t="s">
        <v>342</v>
      </c>
    </row>
    <row r="2" customFormat="false" ht="15" hidden="false" customHeight="false" outlineLevel="0" collapsed="false">
      <c r="A2" s="2" t="s">
        <v>343</v>
      </c>
    </row>
    <row r="4" customFormat="false" ht="15" hidden="false" customHeight="false" outlineLevel="0" collapsed="false">
      <c r="A4" s="16" t="s">
        <v>344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customFormat="false" ht="15" hidden="false" customHeight="false" outlineLevel="0" collapsed="false">
      <c r="A5" s="31" t="s">
        <v>345</v>
      </c>
      <c r="B5" s="31" t="s">
        <v>346</v>
      </c>
      <c r="C5" s="31" t="s">
        <v>347</v>
      </c>
      <c r="D5" s="31" t="s">
        <v>348</v>
      </c>
      <c r="E5" s="31" t="s">
        <v>349</v>
      </c>
      <c r="F5" s="31" t="s">
        <v>350</v>
      </c>
      <c r="G5" s="31" t="s">
        <v>351</v>
      </c>
      <c r="H5" s="31" t="s">
        <v>352</v>
      </c>
      <c r="I5" s="31" t="s">
        <v>353</v>
      </c>
      <c r="J5" s="31" t="s">
        <v>354</v>
      </c>
      <c r="K5" s="31" t="s">
        <v>355</v>
      </c>
      <c r="L5" s="31" t="s">
        <v>356</v>
      </c>
      <c r="M5" s="31" t="s">
        <v>357</v>
      </c>
      <c r="N5" s="31" t="s">
        <v>358</v>
      </c>
      <c r="O5" s="31" t="s">
        <v>359</v>
      </c>
    </row>
    <row r="6" customFormat="false" ht="15" hidden="false" customHeight="false" outlineLevel="0" collapsed="false">
      <c r="A6" s="35" t="s">
        <v>106</v>
      </c>
      <c r="B6" s="36" t="s">
        <v>248</v>
      </c>
      <c r="C6" s="37" t="n">
        <v>24.4</v>
      </c>
      <c r="D6" s="37" t="n">
        <v>25.2</v>
      </c>
      <c r="E6" s="37" t="n">
        <v>26</v>
      </c>
      <c r="F6" s="37" t="n">
        <v>24.4</v>
      </c>
      <c r="G6" s="37" t="n">
        <v>25.2</v>
      </c>
      <c r="H6" s="37" t="n">
        <v>26</v>
      </c>
      <c r="I6" s="37" t="n">
        <v>24.4</v>
      </c>
      <c r="J6" s="37" t="n">
        <v>25.2</v>
      </c>
      <c r="K6" s="37" t="n">
        <v>26</v>
      </c>
      <c r="L6" s="37" t="n">
        <v>24.4</v>
      </c>
      <c r="M6" s="37" t="n">
        <v>25.2</v>
      </c>
      <c r="N6" s="37" t="n">
        <v>26</v>
      </c>
      <c r="O6" s="9" t="n">
        <f aca="false">AVERAGE(C6:N6)</f>
        <v>25.2</v>
      </c>
    </row>
    <row r="7" customFormat="false" ht="15" hidden="false" customHeight="false" outlineLevel="0" collapsed="false">
      <c r="A7" s="35" t="s">
        <v>116</v>
      </c>
      <c r="B7" s="36" t="s">
        <v>253</v>
      </c>
      <c r="C7" s="37" t="n">
        <v>25.6</v>
      </c>
      <c r="D7" s="37" t="n">
        <v>26.4</v>
      </c>
      <c r="E7" s="37" t="n">
        <v>27.2</v>
      </c>
      <c r="F7" s="37" t="n">
        <v>25.6</v>
      </c>
      <c r="G7" s="37" t="n">
        <v>26.4</v>
      </c>
      <c r="H7" s="37" t="n">
        <v>27.2</v>
      </c>
      <c r="I7" s="37" t="n">
        <v>25.6</v>
      </c>
      <c r="J7" s="37" t="n">
        <v>26.4</v>
      </c>
      <c r="K7" s="37" t="n">
        <v>27.2</v>
      </c>
      <c r="L7" s="37" t="n">
        <v>25.6</v>
      </c>
      <c r="M7" s="37" t="n">
        <v>26.4</v>
      </c>
      <c r="N7" s="37" t="n">
        <v>27.2</v>
      </c>
      <c r="O7" s="9" t="n">
        <f aca="false">AVERAGE(C7:N7)</f>
        <v>26.4</v>
      </c>
    </row>
    <row r="8" customFormat="false" ht="15" hidden="false" customHeight="false" outlineLevel="0" collapsed="false">
      <c r="A8" s="35" t="s">
        <v>121</v>
      </c>
      <c r="B8" s="36" t="s">
        <v>257</v>
      </c>
      <c r="C8" s="37" t="n">
        <v>26.8</v>
      </c>
      <c r="D8" s="37" t="n">
        <v>27.6</v>
      </c>
      <c r="E8" s="37" t="n">
        <v>28.4</v>
      </c>
      <c r="F8" s="37" t="n">
        <v>26.8</v>
      </c>
      <c r="G8" s="37" t="n">
        <v>27.6</v>
      </c>
      <c r="H8" s="37" t="n">
        <v>28.4</v>
      </c>
      <c r="I8" s="37" t="n">
        <v>26.8</v>
      </c>
      <c r="J8" s="37" t="n">
        <v>27.6</v>
      </c>
      <c r="K8" s="37" t="n">
        <v>28.4</v>
      </c>
      <c r="L8" s="37" t="n">
        <v>26.8</v>
      </c>
      <c r="M8" s="37" t="n">
        <v>27.6</v>
      </c>
      <c r="N8" s="37" t="n">
        <v>28.4</v>
      </c>
      <c r="O8" s="9" t="n">
        <f aca="false">AVERAGE(C8:N8)</f>
        <v>27.6</v>
      </c>
    </row>
    <row r="9" customFormat="false" ht="15" hidden="false" customHeight="false" outlineLevel="0" collapsed="false">
      <c r="A9" s="35" t="s">
        <v>125</v>
      </c>
      <c r="B9" s="36" t="s">
        <v>261</v>
      </c>
      <c r="C9" s="37" t="n">
        <v>28</v>
      </c>
      <c r="D9" s="37" t="n">
        <v>28.8</v>
      </c>
      <c r="E9" s="37" t="n">
        <v>29.6</v>
      </c>
      <c r="F9" s="37" t="n">
        <v>28</v>
      </c>
      <c r="G9" s="37" t="n">
        <v>28.8</v>
      </c>
      <c r="H9" s="37" t="n">
        <v>29.6</v>
      </c>
      <c r="I9" s="37" t="n">
        <v>28</v>
      </c>
      <c r="J9" s="37" t="n">
        <v>28.8</v>
      </c>
      <c r="K9" s="37" t="n">
        <v>29.6</v>
      </c>
      <c r="L9" s="37" t="n">
        <v>28</v>
      </c>
      <c r="M9" s="37" t="n">
        <v>28.8</v>
      </c>
      <c r="N9" s="37" t="n">
        <v>29.6</v>
      </c>
      <c r="O9" s="9" t="n">
        <f aca="false">AVERAGE(C9:N9)</f>
        <v>28.8</v>
      </c>
    </row>
    <row r="10" customFormat="false" ht="15" hidden="false" customHeight="false" outlineLevel="0" collapsed="false">
      <c r="A10" s="35" t="s">
        <v>129</v>
      </c>
      <c r="B10" s="36" t="s">
        <v>265</v>
      </c>
      <c r="C10" s="37" t="n">
        <v>29.2</v>
      </c>
      <c r="D10" s="37" t="n">
        <v>30</v>
      </c>
      <c r="E10" s="37" t="n">
        <v>30.8</v>
      </c>
      <c r="F10" s="37" t="n">
        <v>29.2</v>
      </c>
      <c r="G10" s="37" t="n">
        <v>30</v>
      </c>
      <c r="H10" s="37" t="n">
        <v>30.8</v>
      </c>
      <c r="I10" s="37" t="n">
        <v>29.2</v>
      </c>
      <c r="J10" s="37" t="n">
        <v>30</v>
      </c>
      <c r="K10" s="37" t="n">
        <v>30.8</v>
      </c>
      <c r="L10" s="37" t="n">
        <v>29.2</v>
      </c>
      <c r="M10" s="37" t="n">
        <v>30</v>
      </c>
      <c r="N10" s="37" t="n">
        <v>30.8</v>
      </c>
      <c r="O10" s="9" t="n">
        <f aca="false">AVERAGE(C10:N10)</f>
        <v>30</v>
      </c>
    </row>
    <row r="11" customFormat="false" ht="15" hidden="false" customHeight="false" outlineLevel="0" collapsed="false">
      <c r="A11" s="35" t="s">
        <v>133</v>
      </c>
      <c r="B11" s="36" t="s">
        <v>269</v>
      </c>
      <c r="C11" s="37" t="n">
        <v>30.4</v>
      </c>
      <c r="D11" s="37" t="n">
        <v>31.2</v>
      </c>
      <c r="E11" s="37" t="n">
        <v>32</v>
      </c>
      <c r="F11" s="37" t="n">
        <v>30.4</v>
      </c>
      <c r="G11" s="37" t="n">
        <v>31.2</v>
      </c>
      <c r="H11" s="37" t="n">
        <v>32</v>
      </c>
      <c r="I11" s="37" t="n">
        <v>30.4</v>
      </c>
      <c r="J11" s="37" t="n">
        <v>31.2</v>
      </c>
      <c r="K11" s="37" t="n">
        <v>32</v>
      </c>
      <c r="L11" s="37" t="n">
        <v>30.4</v>
      </c>
      <c r="M11" s="37" t="n">
        <v>31.2</v>
      </c>
      <c r="N11" s="37" t="n">
        <v>32</v>
      </c>
      <c r="O11" s="9" t="n">
        <f aca="false">AVERAGE(C11:N11)</f>
        <v>31.2</v>
      </c>
    </row>
    <row r="12" customFormat="false" ht="15" hidden="false" customHeight="false" outlineLevel="0" collapsed="false">
      <c r="A12" s="35" t="s">
        <v>137</v>
      </c>
      <c r="B12" s="36" t="s">
        <v>273</v>
      </c>
      <c r="C12" s="37" t="n">
        <v>23.2</v>
      </c>
      <c r="D12" s="37" t="n">
        <v>24</v>
      </c>
      <c r="E12" s="37" t="n">
        <v>24.8</v>
      </c>
      <c r="F12" s="37" t="n">
        <v>23.2</v>
      </c>
      <c r="G12" s="37" t="n">
        <v>24</v>
      </c>
      <c r="H12" s="37" t="n">
        <v>24.8</v>
      </c>
      <c r="I12" s="37" t="n">
        <v>23.2</v>
      </c>
      <c r="J12" s="37" t="n">
        <v>24</v>
      </c>
      <c r="K12" s="37" t="n">
        <v>24.8</v>
      </c>
      <c r="L12" s="37" t="n">
        <v>23.2</v>
      </c>
      <c r="M12" s="37" t="n">
        <v>24</v>
      </c>
      <c r="N12" s="37" t="n">
        <v>24.8</v>
      </c>
      <c r="O12" s="9" t="n">
        <f aca="false">AVERAGE(C12:N12)</f>
        <v>24</v>
      </c>
    </row>
    <row r="13" customFormat="false" ht="15" hidden="false" customHeight="false" outlineLevel="0" collapsed="false">
      <c r="A13" s="35" t="s">
        <v>141</v>
      </c>
      <c r="B13" s="36" t="s">
        <v>277</v>
      </c>
      <c r="C13" s="37" t="n">
        <v>24.4</v>
      </c>
      <c r="D13" s="37" t="n">
        <v>25.2</v>
      </c>
      <c r="E13" s="37" t="n">
        <v>26</v>
      </c>
      <c r="F13" s="37" t="n">
        <v>24.4</v>
      </c>
      <c r="G13" s="37" t="n">
        <v>25.2</v>
      </c>
      <c r="H13" s="37" t="n">
        <v>26</v>
      </c>
      <c r="I13" s="37" t="n">
        <v>24.4</v>
      </c>
      <c r="J13" s="37" t="n">
        <v>25.2</v>
      </c>
      <c r="K13" s="37" t="n">
        <v>26</v>
      </c>
      <c r="L13" s="37" t="n">
        <v>24.4</v>
      </c>
      <c r="M13" s="37" t="n">
        <v>25.2</v>
      </c>
      <c r="N13" s="37" t="n">
        <v>26</v>
      </c>
      <c r="O13" s="9" t="n">
        <f aca="false">AVERAGE(C13:N13)</f>
        <v>25.2</v>
      </c>
    </row>
    <row r="14" customFormat="false" ht="15" hidden="false" customHeight="false" outlineLevel="0" collapsed="false">
      <c r="A14" s="35" t="s">
        <v>145</v>
      </c>
      <c r="B14" s="36" t="s">
        <v>281</v>
      </c>
      <c r="C14" s="37" t="n">
        <v>25.6</v>
      </c>
      <c r="D14" s="37" t="n">
        <v>26.4</v>
      </c>
      <c r="E14" s="37" t="n">
        <v>27.2</v>
      </c>
      <c r="F14" s="37" t="n">
        <v>25.6</v>
      </c>
      <c r="G14" s="37" t="n">
        <v>26.4</v>
      </c>
      <c r="H14" s="37" t="n">
        <v>27.2</v>
      </c>
      <c r="I14" s="37" t="n">
        <v>25.6</v>
      </c>
      <c r="J14" s="37" t="n">
        <v>26.4</v>
      </c>
      <c r="K14" s="37" t="n">
        <v>27.2</v>
      </c>
      <c r="L14" s="37" t="n">
        <v>25.6</v>
      </c>
      <c r="M14" s="37" t="n">
        <v>26.4</v>
      </c>
      <c r="N14" s="37" t="n">
        <v>27.2</v>
      </c>
      <c r="O14" s="9" t="n">
        <f aca="false">AVERAGE(C14:N14)</f>
        <v>26.4</v>
      </c>
    </row>
    <row r="15" customFormat="false" ht="15" hidden="false" customHeight="false" outlineLevel="0" collapsed="false">
      <c r="A15" s="35" t="s">
        <v>149</v>
      </c>
      <c r="B15" s="36" t="s">
        <v>285</v>
      </c>
      <c r="C15" s="37" t="n">
        <v>26.8</v>
      </c>
      <c r="D15" s="37" t="n">
        <v>27.6</v>
      </c>
      <c r="E15" s="37" t="n">
        <v>28.4</v>
      </c>
      <c r="F15" s="37" t="n">
        <v>26.8</v>
      </c>
      <c r="G15" s="37" t="n">
        <v>27.6</v>
      </c>
      <c r="H15" s="37" t="n">
        <v>28.4</v>
      </c>
      <c r="I15" s="37" t="n">
        <v>26.8</v>
      </c>
      <c r="J15" s="37" t="n">
        <v>27.6</v>
      </c>
      <c r="K15" s="37" t="n">
        <v>28.4</v>
      </c>
      <c r="L15" s="37" t="n">
        <v>26.8</v>
      </c>
      <c r="M15" s="37" t="n">
        <v>27.6</v>
      </c>
      <c r="N15" s="37" t="n">
        <v>28.4</v>
      </c>
      <c r="O15" s="9" t="n">
        <f aca="false">AVERAGE(C15:N15)</f>
        <v>27.6</v>
      </c>
    </row>
    <row r="16" customFormat="false" ht="15" hidden="false" customHeight="false" outlineLevel="0" collapsed="false">
      <c r="A16" s="35" t="s">
        <v>153</v>
      </c>
      <c r="B16" s="36" t="s">
        <v>289</v>
      </c>
      <c r="C16" s="37" t="n">
        <v>28</v>
      </c>
      <c r="D16" s="37" t="n">
        <v>28.8</v>
      </c>
      <c r="E16" s="37" t="n">
        <v>29.6</v>
      </c>
      <c r="F16" s="37" t="n">
        <v>28</v>
      </c>
      <c r="G16" s="37" t="n">
        <v>28.8</v>
      </c>
      <c r="H16" s="37" t="n">
        <v>29.6</v>
      </c>
      <c r="I16" s="37" t="n">
        <v>28</v>
      </c>
      <c r="J16" s="37" t="n">
        <v>28.8</v>
      </c>
      <c r="K16" s="37" t="n">
        <v>29.6</v>
      </c>
      <c r="L16" s="37" t="n">
        <v>28</v>
      </c>
      <c r="M16" s="37" t="n">
        <v>28.8</v>
      </c>
      <c r="N16" s="37" t="n">
        <v>29.6</v>
      </c>
      <c r="O16" s="9" t="n">
        <f aca="false">AVERAGE(C16:N16)</f>
        <v>28.8</v>
      </c>
    </row>
    <row r="17" customFormat="false" ht="15" hidden="false" customHeight="false" outlineLevel="0" collapsed="false">
      <c r="A17" s="35" t="s">
        <v>157</v>
      </c>
      <c r="B17" s="36" t="s">
        <v>293</v>
      </c>
      <c r="C17" s="37" t="n">
        <v>29.2</v>
      </c>
      <c r="D17" s="37" t="n">
        <v>30</v>
      </c>
      <c r="E17" s="37" t="n">
        <v>30.8</v>
      </c>
      <c r="F17" s="37" t="n">
        <v>29.2</v>
      </c>
      <c r="G17" s="37" t="n">
        <v>30</v>
      </c>
      <c r="H17" s="37" t="n">
        <v>30.8</v>
      </c>
      <c r="I17" s="37" t="n">
        <v>29.2</v>
      </c>
      <c r="J17" s="37" t="n">
        <v>30</v>
      </c>
      <c r="K17" s="37" t="n">
        <v>30.8</v>
      </c>
      <c r="L17" s="37" t="n">
        <v>29.2</v>
      </c>
      <c r="M17" s="37" t="n">
        <v>30</v>
      </c>
      <c r="N17" s="37" t="n">
        <v>30.8</v>
      </c>
      <c r="O17" s="9" t="n">
        <f aca="false">AVERAGE(C17:N17)</f>
        <v>30</v>
      </c>
    </row>
    <row r="18" customFormat="false" ht="15" hidden="false" customHeight="false" outlineLevel="0" collapsed="false">
      <c r="A18" s="35" t="s">
        <v>161</v>
      </c>
      <c r="B18" s="36" t="s">
        <v>297</v>
      </c>
      <c r="C18" s="37" t="n">
        <v>30.4</v>
      </c>
      <c r="D18" s="37" t="n">
        <v>31.2</v>
      </c>
      <c r="E18" s="37" t="n">
        <v>32</v>
      </c>
      <c r="F18" s="37" t="n">
        <v>30.4</v>
      </c>
      <c r="G18" s="37" t="n">
        <v>31.2</v>
      </c>
      <c r="H18" s="37" t="n">
        <v>32</v>
      </c>
      <c r="I18" s="37" t="n">
        <v>30.4</v>
      </c>
      <c r="J18" s="37" t="n">
        <v>31.2</v>
      </c>
      <c r="K18" s="37" t="n">
        <v>32</v>
      </c>
      <c r="L18" s="37" t="n">
        <v>30.4</v>
      </c>
      <c r="M18" s="37" t="n">
        <v>31.2</v>
      </c>
      <c r="N18" s="37" t="n">
        <v>32</v>
      </c>
      <c r="O18" s="9" t="n">
        <f aca="false">AVERAGE(C18:N18)</f>
        <v>31.2</v>
      </c>
    </row>
    <row r="19" customFormat="false" ht="15" hidden="false" customHeight="false" outlineLevel="0" collapsed="false">
      <c r="A19" s="35" t="s">
        <v>165</v>
      </c>
      <c r="B19" s="36" t="s">
        <v>301</v>
      </c>
      <c r="C19" s="37" t="n">
        <v>23.2</v>
      </c>
      <c r="D19" s="37" t="n">
        <v>24</v>
      </c>
      <c r="E19" s="37" t="n">
        <v>24.8</v>
      </c>
      <c r="F19" s="37" t="n">
        <v>23.2</v>
      </c>
      <c r="G19" s="37" t="n">
        <v>24</v>
      </c>
      <c r="H19" s="37" t="n">
        <v>24.8</v>
      </c>
      <c r="I19" s="37" t="n">
        <v>23.2</v>
      </c>
      <c r="J19" s="37" t="n">
        <v>24</v>
      </c>
      <c r="K19" s="37" t="n">
        <v>24.8</v>
      </c>
      <c r="L19" s="37" t="n">
        <v>23.2</v>
      </c>
      <c r="M19" s="37" t="n">
        <v>24</v>
      </c>
      <c r="N19" s="37" t="n">
        <v>24.8</v>
      </c>
      <c r="O19" s="9" t="n">
        <f aca="false">AVERAGE(C19:N19)</f>
        <v>24</v>
      </c>
    </row>
    <row r="20" customFormat="false" ht="15" hidden="false" customHeight="false" outlineLevel="0" collapsed="false">
      <c r="A20" s="35" t="s">
        <v>169</v>
      </c>
      <c r="B20" s="36" t="s">
        <v>305</v>
      </c>
      <c r="C20" s="37" t="n">
        <v>24.4</v>
      </c>
      <c r="D20" s="37" t="n">
        <v>25.2</v>
      </c>
      <c r="E20" s="37" t="n">
        <v>26</v>
      </c>
      <c r="F20" s="37" t="n">
        <v>24.4</v>
      </c>
      <c r="G20" s="37" t="n">
        <v>25.2</v>
      </c>
      <c r="H20" s="37" t="n">
        <v>26</v>
      </c>
      <c r="I20" s="37" t="n">
        <v>24.4</v>
      </c>
      <c r="J20" s="37" t="n">
        <v>25.2</v>
      </c>
      <c r="K20" s="37" t="n">
        <v>26</v>
      </c>
      <c r="L20" s="37" t="n">
        <v>24.4</v>
      </c>
      <c r="M20" s="37" t="n">
        <v>25.2</v>
      </c>
      <c r="N20" s="37" t="n">
        <v>26</v>
      </c>
      <c r="O20" s="9" t="n">
        <f aca="false">AVERAGE(C20:N20)</f>
        <v>25.2</v>
      </c>
    </row>
    <row r="21" customFormat="false" ht="15" hidden="false" customHeight="false" outlineLevel="0" collapsed="false">
      <c r="A21" s="35" t="s">
        <v>173</v>
      </c>
      <c r="B21" s="36" t="s">
        <v>309</v>
      </c>
      <c r="C21" s="37" t="n">
        <v>25.6</v>
      </c>
      <c r="D21" s="37" t="n">
        <v>26.4</v>
      </c>
      <c r="E21" s="37" t="n">
        <v>27.2</v>
      </c>
      <c r="F21" s="37" t="n">
        <v>25.6</v>
      </c>
      <c r="G21" s="37" t="n">
        <v>26.4</v>
      </c>
      <c r="H21" s="37" t="n">
        <v>27.2</v>
      </c>
      <c r="I21" s="37" t="n">
        <v>25.6</v>
      </c>
      <c r="J21" s="37" t="n">
        <v>26.4</v>
      </c>
      <c r="K21" s="37" t="n">
        <v>27.2</v>
      </c>
      <c r="L21" s="37" t="n">
        <v>25.6</v>
      </c>
      <c r="M21" s="37" t="n">
        <v>26.4</v>
      </c>
      <c r="N21" s="37" t="n">
        <v>27.2</v>
      </c>
      <c r="O21" s="9" t="n">
        <f aca="false">AVERAGE(C21:N21)</f>
        <v>26.4</v>
      </c>
    </row>
    <row r="22" customFormat="false" ht="15" hidden="false" customHeight="false" outlineLevel="0" collapsed="false">
      <c r="A22" s="35" t="s">
        <v>177</v>
      </c>
      <c r="B22" s="36" t="s">
        <v>313</v>
      </c>
      <c r="C22" s="37" t="n">
        <v>26.8</v>
      </c>
      <c r="D22" s="37" t="n">
        <v>27.6</v>
      </c>
      <c r="E22" s="37" t="n">
        <v>28.4</v>
      </c>
      <c r="F22" s="37" t="n">
        <v>26.8</v>
      </c>
      <c r="G22" s="37" t="n">
        <v>27.6</v>
      </c>
      <c r="H22" s="37" t="n">
        <v>28.4</v>
      </c>
      <c r="I22" s="37" t="n">
        <v>26.8</v>
      </c>
      <c r="J22" s="37" t="n">
        <v>27.6</v>
      </c>
      <c r="K22" s="37" t="n">
        <v>28.4</v>
      </c>
      <c r="L22" s="37" t="n">
        <v>26.8</v>
      </c>
      <c r="M22" s="37" t="n">
        <v>27.6</v>
      </c>
      <c r="N22" s="37" t="n">
        <v>28.4</v>
      </c>
      <c r="O22" s="9" t="n">
        <f aca="false">AVERAGE(C22:N22)</f>
        <v>27.6</v>
      </c>
    </row>
    <row r="23" customFormat="false" ht="15" hidden="false" customHeight="false" outlineLevel="0" collapsed="false">
      <c r="A23" s="35" t="s">
        <v>181</v>
      </c>
      <c r="B23" s="36" t="s">
        <v>317</v>
      </c>
      <c r="C23" s="37" t="n">
        <v>28</v>
      </c>
      <c r="D23" s="37" t="n">
        <v>28.8</v>
      </c>
      <c r="E23" s="37" t="n">
        <v>29.6</v>
      </c>
      <c r="F23" s="37" t="n">
        <v>28</v>
      </c>
      <c r="G23" s="37" t="n">
        <v>28.8</v>
      </c>
      <c r="H23" s="37" t="n">
        <v>29.6</v>
      </c>
      <c r="I23" s="37" t="n">
        <v>28</v>
      </c>
      <c r="J23" s="37" t="n">
        <v>28.8</v>
      </c>
      <c r="K23" s="37" t="n">
        <v>29.6</v>
      </c>
      <c r="L23" s="37" t="n">
        <v>28</v>
      </c>
      <c r="M23" s="37" t="n">
        <v>28.8</v>
      </c>
      <c r="N23" s="37" t="n">
        <v>29.6</v>
      </c>
      <c r="O23" s="9" t="n">
        <f aca="false">AVERAGE(C23:N23)</f>
        <v>28.8</v>
      </c>
    </row>
    <row r="24" customFormat="false" ht="15" hidden="false" customHeight="false" outlineLevel="0" collapsed="false">
      <c r="A24" s="35" t="s">
        <v>185</v>
      </c>
      <c r="B24" s="36" t="s">
        <v>360</v>
      </c>
      <c r="C24" s="37" t="n">
        <v>29.2</v>
      </c>
      <c r="D24" s="37" t="n">
        <v>30</v>
      </c>
      <c r="E24" s="37" t="n">
        <v>30.8</v>
      </c>
      <c r="F24" s="37" t="n">
        <v>29.2</v>
      </c>
      <c r="G24" s="37" t="n">
        <v>30</v>
      </c>
      <c r="H24" s="37" t="n">
        <v>30.8</v>
      </c>
      <c r="I24" s="37" t="n">
        <v>29.2</v>
      </c>
      <c r="J24" s="37" t="n">
        <v>30</v>
      </c>
      <c r="K24" s="37" t="n">
        <v>30.8</v>
      </c>
      <c r="L24" s="37" t="n">
        <v>29.2</v>
      </c>
      <c r="M24" s="37" t="n">
        <v>30</v>
      </c>
      <c r="N24" s="37" t="n">
        <v>30.8</v>
      </c>
      <c r="O24" s="9" t="n">
        <f aca="false">AVERAGE(C24:N24)</f>
        <v>30</v>
      </c>
    </row>
    <row r="25" customFormat="false" ht="15" hidden="false" customHeight="false" outlineLevel="0" collapsed="false">
      <c r="A25" s="35" t="s">
        <v>189</v>
      </c>
      <c r="B25" s="36" t="s">
        <v>361</v>
      </c>
      <c r="C25" s="37" t="n">
        <v>30.4</v>
      </c>
      <c r="D25" s="37" t="n">
        <v>31.2</v>
      </c>
      <c r="E25" s="37" t="n">
        <v>32</v>
      </c>
      <c r="F25" s="37" t="n">
        <v>30.4</v>
      </c>
      <c r="G25" s="37" t="n">
        <v>31.2</v>
      </c>
      <c r="H25" s="37" t="n">
        <v>32</v>
      </c>
      <c r="I25" s="37" t="n">
        <v>30.4</v>
      </c>
      <c r="J25" s="37" t="n">
        <v>31.2</v>
      </c>
      <c r="K25" s="37" t="n">
        <v>32</v>
      </c>
      <c r="L25" s="37" t="n">
        <v>30.4</v>
      </c>
      <c r="M25" s="37" t="n">
        <v>31.2</v>
      </c>
      <c r="N25" s="37" t="n">
        <v>32</v>
      </c>
      <c r="O25" s="9" t="n">
        <f aca="false">AVERAGE(C25:N25)</f>
        <v>31.2</v>
      </c>
    </row>
    <row r="26" customFormat="false" ht="15" hidden="false" customHeight="false" outlineLevel="0" collapsed="false">
      <c r="A26" s="35" t="s">
        <v>193</v>
      </c>
      <c r="B26" s="36" t="s">
        <v>362</v>
      </c>
      <c r="C26" s="37" t="n">
        <v>23.2</v>
      </c>
      <c r="D26" s="37" t="n">
        <v>24</v>
      </c>
      <c r="E26" s="37" t="n">
        <v>24.8</v>
      </c>
      <c r="F26" s="37" t="n">
        <v>23.2</v>
      </c>
      <c r="G26" s="37" t="n">
        <v>24</v>
      </c>
      <c r="H26" s="37" t="n">
        <v>24.8</v>
      </c>
      <c r="I26" s="37" t="n">
        <v>23.2</v>
      </c>
      <c r="J26" s="37" t="n">
        <v>24</v>
      </c>
      <c r="K26" s="37" t="n">
        <v>24.8</v>
      </c>
      <c r="L26" s="37" t="n">
        <v>23.2</v>
      </c>
      <c r="M26" s="37" t="n">
        <v>24</v>
      </c>
      <c r="N26" s="37" t="n">
        <v>24.8</v>
      </c>
      <c r="O26" s="9" t="n">
        <f aca="false">AVERAGE(C26:N26)</f>
        <v>24</v>
      </c>
    </row>
    <row r="27" customFormat="false" ht="15" hidden="false" customHeight="false" outlineLevel="0" collapsed="false">
      <c r="A27" s="35" t="s">
        <v>197</v>
      </c>
      <c r="B27" s="36" t="s">
        <v>363</v>
      </c>
      <c r="C27" s="37" t="n">
        <v>24.4</v>
      </c>
      <c r="D27" s="37" t="n">
        <v>25.2</v>
      </c>
      <c r="E27" s="37" t="n">
        <v>26</v>
      </c>
      <c r="F27" s="37" t="n">
        <v>24.4</v>
      </c>
      <c r="G27" s="37" t="n">
        <v>25.2</v>
      </c>
      <c r="H27" s="37" t="n">
        <v>26</v>
      </c>
      <c r="I27" s="37" t="n">
        <v>24.4</v>
      </c>
      <c r="J27" s="37" t="n">
        <v>25.2</v>
      </c>
      <c r="K27" s="37" t="n">
        <v>26</v>
      </c>
      <c r="L27" s="37" t="n">
        <v>24.4</v>
      </c>
      <c r="M27" s="37" t="n">
        <v>25.2</v>
      </c>
      <c r="N27" s="37" t="n">
        <v>26</v>
      </c>
      <c r="O27" s="9" t="n">
        <f aca="false">AVERAGE(C27:N27)</f>
        <v>25.2</v>
      </c>
    </row>
    <row r="28" customFormat="false" ht="15" hidden="false" customHeight="false" outlineLevel="0" collapsed="false">
      <c r="A28" s="35" t="s">
        <v>201</v>
      </c>
      <c r="B28" s="36" t="s">
        <v>364</v>
      </c>
      <c r="C28" s="37" t="n">
        <v>25.6</v>
      </c>
      <c r="D28" s="37" t="n">
        <v>26.4</v>
      </c>
      <c r="E28" s="37" t="n">
        <v>27.2</v>
      </c>
      <c r="F28" s="37" t="n">
        <v>25.6</v>
      </c>
      <c r="G28" s="37" t="n">
        <v>26.4</v>
      </c>
      <c r="H28" s="37" t="n">
        <v>27.2</v>
      </c>
      <c r="I28" s="37" t="n">
        <v>25.6</v>
      </c>
      <c r="J28" s="37" t="n">
        <v>26.4</v>
      </c>
      <c r="K28" s="37" t="n">
        <v>27.2</v>
      </c>
      <c r="L28" s="37" t="n">
        <v>25.6</v>
      </c>
      <c r="M28" s="37" t="n">
        <v>26.4</v>
      </c>
      <c r="N28" s="37" t="n">
        <v>27.2</v>
      </c>
      <c r="O28" s="9" t="n">
        <f aca="false">AVERAGE(C28:N28)</f>
        <v>26.4</v>
      </c>
    </row>
    <row r="29" customFormat="false" ht="15" hidden="false" customHeight="false" outlineLevel="0" collapsed="false">
      <c r="A29" s="35" t="s">
        <v>205</v>
      </c>
      <c r="B29" s="36" t="s">
        <v>365</v>
      </c>
      <c r="C29" s="37" t="n">
        <v>26.8</v>
      </c>
      <c r="D29" s="37" t="n">
        <v>27.6</v>
      </c>
      <c r="E29" s="37" t="n">
        <v>28.4</v>
      </c>
      <c r="F29" s="37" t="n">
        <v>26.8</v>
      </c>
      <c r="G29" s="37" t="n">
        <v>27.6</v>
      </c>
      <c r="H29" s="37" t="n">
        <v>28.4</v>
      </c>
      <c r="I29" s="37" t="n">
        <v>26.8</v>
      </c>
      <c r="J29" s="37" t="n">
        <v>27.6</v>
      </c>
      <c r="K29" s="37" t="n">
        <v>28.4</v>
      </c>
      <c r="L29" s="37" t="n">
        <v>26.8</v>
      </c>
      <c r="M29" s="37" t="n">
        <v>27.6</v>
      </c>
      <c r="N29" s="37" t="n">
        <v>28.4</v>
      </c>
      <c r="O29" s="9" t="n">
        <f aca="false">AVERAGE(C29:N29)</f>
        <v>27.6</v>
      </c>
    </row>
    <row r="30" customFormat="false" ht="15" hidden="false" customHeight="false" outlineLevel="0" collapsed="false">
      <c r="A30" s="35" t="s">
        <v>209</v>
      </c>
      <c r="B30" s="36" t="s">
        <v>366</v>
      </c>
      <c r="C30" s="37" t="n">
        <v>28</v>
      </c>
      <c r="D30" s="37" t="n">
        <v>28.8</v>
      </c>
      <c r="E30" s="37" t="n">
        <v>29.6</v>
      </c>
      <c r="F30" s="37" t="n">
        <v>28</v>
      </c>
      <c r="G30" s="37" t="n">
        <v>28.8</v>
      </c>
      <c r="H30" s="37" t="n">
        <v>29.6</v>
      </c>
      <c r="I30" s="37" t="n">
        <v>28</v>
      </c>
      <c r="J30" s="37" t="n">
        <v>28.8</v>
      </c>
      <c r="K30" s="37" t="n">
        <v>29.6</v>
      </c>
      <c r="L30" s="37" t="n">
        <v>28</v>
      </c>
      <c r="M30" s="37" t="n">
        <v>28.8</v>
      </c>
      <c r="N30" s="37" t="n">
        <v>29.6</v>
      </c>
      <c r="O30" s="9" t="n">
        <f aca="false">AVERAGE(C30:N30)</f>
        <v>28.8</v>
      </c>
    </row>
    <row r="31" customFormat="false" ht="15" hidden="false" customHeight="false" outlineLevel="0" collapsed="false">
      <c r="A31" s="26" t="s">
        <v>367</v>
      </c>
      <c r="B31" s="27" t="s">
        <v>368</v>
      </c>
      <c r="C31" s="38" t="n">
        <f aca="false">AVERAGE(C6:C30)</f>
        <v>26.704</v>
      </c>
      <c r="D31" s="38" t="n">
        <f aca="false">AVERAGE(D6:D30)</f>
        <v>27.504</v>
      </c>
      <c r="E31" s="38" t="n">
        <f aca="false">AVERAGE(E6:E30)</f>
        <v>28.304</v>
      </c>
      <c r="F31" s="38" t="n">
        <f aca="false">AVERAGE(F6:F30)</f>
        <v>26.704</v>
      </c>
      <c r="G31" s="38" t="n">
        <f aca="false">AVERAGE(G6:G30)</f>
        <v>27.504</v>
      </c>
      <c r="H31" s="38" t="n">
        <f aca="false">AVERAGE(H6:H30)</f>
        <v>28.304</v>
      </c>
      <c r="I31" s="38" t="n">
        <f aca="false">AVERAGE(I6:I30)</f>
        <v>26.704</v>
      </c>
      <c r="J31" s="38" t="n">
        <f aca="false">AVERAGE(J6:J30)</f>
        <v>27.504</v>
      </c>
      <c r="K31" s="38" t="n">
        <f aca="false">AVERAGE(K6:K30)</f>
        <v>28.304</v>
      </c>
      <c r="L31" s="38" t="n">
        <f aca="false">AVERAGE(L6:L30)</f>
        <v>26.704</v>
      </c>
      <c r="M31" s="38" t="n">
        <f aca="false">AVERAGE(M6:M30)</f>
        <v>27.504</v>
      </c>
      <c r="N31" s="38" t="n">
        <f aca="false">AVERAGE(N6:N30)</f>
        <v>28.304</v>
      </c>
      <c r="O31" s="38" t="n">
        <f aca="false">AVERAGE(O6:O30)</f>
        <v>27.504</v>
      </c>
    </row>
    <row r="33" customFormat="false" ht="15" hidden="false" customHeight="false" outlineLevel="0" collapsed="false">
      <c r="A33" s="16" t="s">
        <v>369</v>
      </c>
      <c r="B33" s="16"/>
      <c r="C33" s="16"/>
      <c r="D33" s="16"/>
      <c r="E33" s="16"/>
      <c r="F33" s="16"/>
      <c r="G33" s="16"/>
    </row>
    <row r="34" customFormat="false" ht="15" hidden="false" customHeight="false" outlineLevel="0" collapsed="false">
      <c r="A34" s="4" t="s">
        <v>345</v>
      </c>
      <c r="B34" s="4" t="s">
        <v>370</v>
      </c>
      <c r="C34" s="4" t="s">
        <v>371</v>
      </c>
      <c r="D34" s="4" t="s">
        <v>372</v>
      </c>
      <c r="E34" s="4" t="s">
        <v>373</v>
      </c>
      <c r="F34" s="4" t="s">
        <v>374</v>
      </c>
      <c r="G34" s="4" t="s">
        <v>375</v>
      </c>
    </row>
    <row r="35" customFormat="false" ht="15" hidden="false" customHeight="false" outlineLevel="0" collapsed="false">
      <c r="A35" s="7" t="s">
        <v>106</v>
      </c>
      <c r="B35" s="7" t="s">
        <v>376</v>
      </c>
      <c r="C35" s="7" t="s">
        <v>376</v>
      </c>
      <c r="D35" s="7" t="s">
        <v>376</v>
      </c>
      <c r="E35" s="7" t="s">
        <v>376</v>
      </c>
      <c r="F35" s="22" t="s">
        <v>377</v>
      </c>
      <c r="G35" s="22" t="s">
        <v>378</v>
      </c>
    </row>
    <row r="36" customFormat="false" ht="15" hidden="false" customHeight="false" outlineLevel="0" collapsed="false">
      <c r="A36" s="7" t="s">
        <v>116</v>
      </c>
      <c r="B36" s="7" t="s">
        <v>379</v>
      </c>
      <c r="C36" s="7" t="s">
        <v>376</v>
      </c>
      <c r="D36" s="7" t="s">
        <v>376</v>
      </c>
      <c r="E36" s="7" t="s">
        <v>376</v>
      </c>
      <c r="F36" s="39" t="s">
        <v>380</v>
      </c>
      <c r="G36" s="22" t="s">
        <v>381</v>
      </c>
    </row>
    <row r="37" customFormat="false" ht="15" hidden="false" customHeight="false" outlineLevel="0" collapsed="false">
      <c r="A37" s="7" t="s">
        <v>121</v>
      </c>
      <c r="B37" s="7" t="s">
        <v>376</v>
      </c>
      <c r="C37" s="7" t="s">
        <v>382</v>
      </c>
      <c r="D37" s="7" t="s">
        <v>376</v>
      </c>
      <c r="E37" s="7" t="s">
        <v>376</v>
      </c>
      <c r="F37" s="40" t="s">
        <v>383</v>
      </c>
      <c r="G37" s="22" t="s">
        <v>384</v>
      </c>
    </row>
    <row r="38" customFormat="false" ht="15" hidden="false" customHeight="false" outlineLevel="0" collapsed="false">
      <c r="A38" s="7" t="s">
        <v>125</v>
      </c>
      <c r="B38" s="7" t="s">
        <v>376</v>
      </c>
      <c r="C38" s="7" t="s">
        <v>376</v>
      </c>
      <c r="D38" s="7" t="s">
        <v>376</v>
      </c>
      <c r="E38" s="7" t="s">
        <v>376</v>
      </c>
      <c r="F38" s="22" t="s">
        <v>377</v>
      </c>
      <c r="G38" s="22" t="s">
        <v>378</v>
      </c>
    </row>
    <row r="39" customFormat="false" ht="15" hidden="false" customHeight="false" outlineLevel="0" collapsed="false">
      <c r="A39" s="7" t="s">
        <v>129</v>
      </c>
      <c r="B39" s="7" t="s">
        <v>385</v>
      </c>
      <c r="C39" s="7" t="s">
        <v>376</v>
      </c>
      <c r="D39" s="7" t="s">
        <v>376</v>
      </c>
      <c r="E39" s="7" t="s">
        <v>379</v>
      </c>
      <c r="F39" s="40" t="s">
        <v>386</v>
      </c>
      <c r="G39" s="22" t="s">
        <v>387</v>
      </c>
    </row>
    <row r="41" customFormat="false" ht="19.5" hidden="false" customHeight="true" outlineLevel="0" collapsed="false">
      <c r="A41" s="16" t="s">
        <v>388</v>
      </c>
      <c r="B41" s="16"/>
      <c r="C41" s="16"/>
      <c r="D41" s="16"/>
      <c r="E41" s="16"/>
      <c r="F41" s="16"/>
      <c r="G41" s="16"/>
    </row>
    <row r="42" customFormat="false" ht="31.5" hidden="false" customHeight="true" outlineLevel="0" collapsed="false">
      <c r="A42" s="41" t="s">
        <v>345</v>
      </c>
      <c r="B42" s="41" t="s">
        <v>346</v>
      </c>
      <c r="C42" s="41" t="s">
        <v>389</v>
      </c>
      <c r="D42" s="41" t="s">
        <v>390</v>
      </c>
      <c r="E42" s="41" t="s">
        <v>391</v>
      </c>
      <c r="F42" s="41" t="s">
        <v>392</v>
      </c>
      <c r="G42" s="41" t="s">
        <v>393</v>
      </c>
    </row>
    <row r="43" customFormat="false" ht="15" hidden="false" customHeight="false" outlineLevel="0" collapsed="false">
      <c r="A43" s="42" t="s">
        <v>106</v>
      </c>
      <c r="B43" s="42" t="s">
        <v>248</v>
      </c>
      <c r="C43" s="43" t="n">
        <v>14.3</v>
      </c>
      <c r="D43" s="43" t="n">
        <v>10.9</v>
      </c>
      <c r="E43" s="43" t="n">
        <f aca="false">C43+D43</f>
        <v>25.2</v>
      </c>
      <c r="F43" s="44" t="n">
        <f aca="false">C43/E43</f>
        <v>0.567460317460317</v>
      </c>
      <c r="G43" s="43" t="n">
        <f aca="false">C43-D43</f>
        <v>3.4</v>
      </c>
    </row>
    <row r="44" customFormat="false" ht="15" hidden="false" customHeight="false" outlineLevel="0" collapsed="false">
      <c r="A44" s="42" t="s">
        <v>116</v>
      </c>
      <c r="B44" s="42" t="s">
        <v>253</v>
      </c>
      <c r="C44" s="43" t="n">
        <v>14.1</v>
      </c>
      <c r="D44" s="43" t="n">
        <v>12.3</v>
      </c>
      <c r="E44" s="43" t="n">
        <f aca="false">C44+D44</f>
        <v>26.4</v>
      </c>
      <c r="F44" s="44" t="n">
        <f aca="false">C44/E44</f>
        <v>0.534090909090909</v>
      </c>
      <c r="G44" s="43" t="n">
        <f aca="false">C44-D44</f>
        <v>1.8</v>
      </c>
    </row>
    <row r="45" customFormat="false" ht="15" hidden="false" customHeight="false" outlineLevel="0" collapsed="false">
      <c r="A45" s="42" t="s">
        <v>121</v>
      </c>
      <c r="B45" s="42" t="s">
        <v>257</v>
      </c>
      <c r="C45" s="43" t="n">
        <v>15.6</v>
      </c>
      <c r="D45" s="43" t="n">
        <v>12</v>
      </c>
      <c r="E45" s="43" t="n">
        <f aca="false">C45+D45</f>
        <v>27.6</v>
      </c>
      <c r="F45" s="44" t="n">
        <f aca="false">C45/E45</f>
        <v>0.565217391304348</v>
      </c>
      <c r="G45" s="43" t="n">
        <f aca="false">C45-D45</f>
        <v>3.6</v>
      </c>
    </row>
    <row r="46" customFormat="false" ht="15" hidden="false" customHeight="false" outlineLevel="0" collapsed="false">
      <c r="A46" s="42" t="s">
        <v>125</v>
      </c>
      <c r="B46" s="42" t="s">
        <v>261</v>
      </c>
      <c r="C46" s="43" t="n">
        <v>15.1</v>
      </c>
      <c r="D46" s="43" t="n">
        <v>13.7</v>
      </c>
      <c r="E46" s="43" t="n">
        <f aca="false">C46+D46</f>
        <v>28.8</v>
      </c>
      <c r="F46" s="44" t="n">
        <f aca="false">C46/E46</f>
        <v>0.524305555555556</v>
      </c>
      <c r="G46" s="43" t="n">
        <f aca="false">C46-D46</f>
        <v>1.4</v>
      </c>
    </row>
    <row r="47" customFormat="false" ht="15" hidden="false" customHeight="false" outlineLevel="0" collapsed="false">
      <c r="A47" s="42" t="s">
        <v>129</v>
      </c>
      <c r="B47" s="42" t="s">
        <v>265</v>
      </c>
      <c r="C47" s="43" t="n">
        <v>18.8</v>
      </c>
      <c r="D47" s="43" t="n">
        <v>11.2</v>
      </c>
      <c r="E47" s="43" t="n">
        <f aca="false">C47+D47</f>
        <v>30</v>
      </c>
      <c r="F47" s="44" t="n">
        <f aca="false">C47/E47</f>
        <v>0.626666666666667</v>
      </c>
      <c r="G47" s="43" t="n">
        <f aca="false">C47-D47</f>
        <v>7.6</v>
      </c>
    </row>
    <row r="48" customFormat="false" ht="15" hidden="false" customHeight="false" outlineLevel="0" collapsed="false">
      <c r="A48" s="42" t="s">
        <v>133</v>
      </c>
      <c r="B48" s="42" t="s">
        <v>269</v>
      </c>
      <c r="C48" s="43" t="n">
        <v>16.5</v>
      </c>
      <c r="D48" s="43" t="n">
        <v>14.7</v>
      </c>
      <c r="E48" s="43" t="n">
        <f aca="false">C48+D48</f>
        <v>31.2</v>
      </c>
      <c r="F48" s="44" t="n">
        <f aca="false">C48/E48</f>
        <v>0.528846153846154</v>
      </c>
      <c r="G48" s="43" t="n">
        <f aca="false">C48-D48</f>
        <v>1.8</v>
      </c>
    </row>
    <row r="49" customFormat="false" ht="15" hidden="false" customHeight="false" outlineLevel="0" collapsed="false">
      <c r="A49" s="42" t="s">
        <v>137</v>
      </c>
      <c r="B49" s="42" t="s">
        <v>273</v>
      </c>
      <c r="C49" s="43" t="n">
        <v>13.6</v>
      </c>
      <c r="D49" s="43" t="n">
        <v>10.4</v>
      </c>
      <c r="E49" s="43" t="n">
        <f aca="false">C49+D49</f>
        <v>24</v>
      </c>
      <c r="F49" s="44" t="n">
        <f aca="false">C49/E49</f>
        <v>0.566666666666667</v>
      </c>
      <c r="G49" s="43" t="n">
        <f aca="false">C49-D49</f>
        <v>3.2</v>
      </c>
    </row>
    <row r="50" customFormat="false" ht="15" hidden="false" customHeight="false" outlineLevel="0" collapsed="false">
      <c r="A50" s="42" t="s">
        <v>141</v>
      </c>
      <c r="B50" s="42" t="s">
        <v>277</v>
      </c>
      <c r="C50" s="43" t="n">
        <v>13.2</v>
      </c>
      <c r="D50" s="43" t="n">
        <v>12</v>
      </c>
      <c r="E50" s="43" t="n">
        <f aca="false">C50+D50</f>
        <v>25.2</v>
      </c>
      <c r="F50" s="44" t="n">
        <f aca="false">C50/E50</f>
        <v>0.523809523809524</v>
      </c>
      <c r="G50" s="43" t="n">
        <f aca="false">C50-D50</f>
        <v>1.2</v>
      </c>
    </row>
    <row r="51" customFormat="false" ht="15" hidden="false" customHeight="false" outlineLevel="0" collapsed="false">
      <c r="A51" s="42" t="s">
        <v>145</v>
      </c>
      <c r="B51" s="42" t="s">
        <v>281</v>
      </c>
      <c r="C51" s="43" t="n">
        <v>14.8</v>
      </c>
      <c r="D51" s="43" t="n">
        <v>11.6</v>
      </c>
      <c r="E51" s="43" t="n">
        <f aca="false">C51+D51</f>
        <v>26.4</v>
      </c>
      <c r="F51" s="44" t="n">
        <f aca="false">C51/E51</f>
        <v>0.560606060606061</v>
      </c>
      <c r="G51" s="43" t="n">
        <f aca="false">C51-D51</f>
        <v>3.2</v>
      </c>
    </row>
    <row r="52" customFormat="false" ht="15" hidden="false" customHeight="false" outlineLevel="0" collapsed="false">
      <c r="A52" s="42" t="s">
        <v>149</v>
      </c>
      <c r="B52" s="42" t="s">
        <v>285</v>
      </c>
      <c r="C52" s="43" t="n">
        <v>14.4</v>
      </c>
      <c r="D52" s="43" t="n">
        <v>13.2</v>
      </c>
      <c r="E52" s="43" t="n">
        <f aca="false">C52+D52</f>
        <v>27.6</v>
      </c>
      <c r="F52" s="44" t="n">
        <f aca="false">C52/E52</f>
        <v>0.521739130434783</v>
      </c>
      <c r="G52" s="43" t="n">
        <f aca="false">C52-D52</f>
        <v>1.2</v>
      </c>
    </row>
    <row r="53" customFormat="false" ht="15" hidden="false" customHeight="false" outlineLevel="0" collapsed="false">
      <c r="A53" s="42" t="s">
        <v>153</v>
      </c>
      <c r="B53" s="42" t="s">
        <v>289</v>
      </c>
      <c r="C53" s="43" t="n">
        <v>15.1</v>
      </c>
      <c r="D53" s="43" t="n">
        <v>13.7</v>
      </c>
      <c r="E53" s="43" t="n">
        <f aca="false">C53+D53</f>
        <v>28.8</v>
      </c>
      <c r="F53" s="44" t="n">
        <f aca="false">C53/E53</f>
        <v>0.524305555555556</v>
      </c>
      <c r="G53" s="43" t="n">
        <f aca="false">C53-D53</f>
        <v>1.4</v>
      </c>
    </row>
    <row r="54" customFormat="false" ht="15" hidden="false" customHeight="false" outlineLevel="0" collapsed="false">
      <c r="A54" s="42" t="s">
        <v>157</v>
      </c>
      <c r="B54" s="42" t="s">
        <v>293</v>
      </c>
      <c r="C54" s="43" t="n">
        <v>16.8</v>
      </c>
      <c r="D54" s="43" t="n">
        <v>13.2</v>
      </c>
      <c r="E54" s="43" t="n">
        <f aca="false">C54+D54</f>
        <v>30</v>
      </c>
      <c r="F54" s="44" t="n">
        <f aca="false">C54/E54</f>
        <v>0.56</v>
      </c>
      <c r="G54" s="43" t="n">
        <f aca="false">C54-D54</f>
        <v>3.6</v>
      </c>
    </row>
    <row r="55" customFormat="false" ht="15" hidden="false" customHeight="false" outlineLevel="0" collapsed="false">
      <c r="A55" s="42" t="s">
        <v>161</v>
      </c>
      <c r="B55" s="42" t="s">
        <v>297</v>
      </c>
      <c r="C55" s="43" t="n">
        <v>16.9</v>
      </c>
      <c r="D55" s="43" t="n">
        <v>14.3</v>
      </c>
      <c r="E55" s="43" t="n">
        <f aca="false">C55+D55</f>
        <v>31.2</v>
      </c>
      <c r="F55" s="44" t="n">
        <f aca="false">C55/E55</f>
        <v>0.541666666666667</v>
      </c>
      <c r="G55" s="43" t="n">
        <f aca="false">C55-D55</f>
        <v>2.6</v>
      </c>
    </row>
    <row r="56" customFormat="false" ht="15" hidden="false" customHeight="false" outlineLevel="0" collapsed="false">
      <c r="A56" s="42" t="s">
        <v>165</v>
      </c>
      <c r="B56" s="42" t="s">
        <v>301</v>
      </c>
      <c r="C56" s="43" t="n">
        <v>15.3</v>
      </c>
      <c r="D56" s="43" t="n">
        <v>8.7</v>
      </c>
      <c r="E56" s="43" t="n">
        <f aca="false">C56+D56</f>
        <v>24</v>
      </c>
      <c r="F56" s="44" t="n">
        <f aca="false">C56/E56</f>
        <v>0.6375</v>
      </c>
      <c r="G56" s="43" t="n">
        <f aca="false">C56-D56</f>
        <v>6.6</v>
      </c>
    </row>
    <row r="57" customFormat="false" ht="15" hidden="false" customHeight="false" outlineLevel="0" collapsed="false">
      <c r="A57" s="42" t="s">
        <v>169</v>
      </c>
      <c r="B57" s="42" t="s">
        <v>305</v>
      </c>
      <c r="C57" s="43" t="n">
        <v>14.1</v>
      </c>
      <c r="D57" s="43" t="n">
        <v>11.1</v>
      </c>
      <c r="E57" s="43" t="n">
        <f aca="false">C57+D57</f>
        <v>25.2</v>
      </c>
      <c r="F57" s="44" t="n">
        <f aca="false">C57/E57</f>
        <v>0.55952380952381</v>
      </c>
      <c r="G57" s="43" t="n">
        <f aca="false">C57-D57</f>
        <v>3</v>
      </c>
    </row>
    <row r="58" customFormat="false" ht="15" hidden="false" customHeight="false" outlineLevel="0" collapsed="false">
      <c r="A58" s="42" t="s">
        <v>173</v>
      </c>
      <c r="B58" s="42" t="s">
        <v>309</v>
      </c>
      <c r="C58" s="43" t="n">
        <v>14.2</v>
      </c>
      <c r="D58" s="43" t="n">
        <v>12.2</v>
      </c>
      <c r="E58" s="43" t="n">
        <f aca="false">C58+D58</f>
        <v>26.4</v>
      </c>
      <c r="F58" s="44" t="n">
        <f aca="false">C58/E58</f>
        <v>0.537878787878788</v>
      </c>
      <c r="G58" s="43" t="n">
        <f aca="false">C58-D58</f>
        <v>2</v>
      </c>
    </row>
    <row r="59" customFormat="false" ht="15" hidden="false" customHeight="false" outlineLevel="0" collapsed="false">
      <c r="A59" s="42" t="s">
        <v>177</v>
      </c>
      <c r="B59" s="42" t="s">
        <v>313</v>
      </c>
      <c r="C59" s="43" t="n">
        <v>15</v>
      </c>
      <c r="D59" s="43" t="n">
        <v>12.6</v>
      </c>
      <c r="E59" s="43" t="n">
        <f aca="false">C59+D59</f>
        <v>27.6</v>
      </c>
      <c r="F59" s="44" t="n">
        <f aca="false">C59/E59</f>
        <v>0.543478260869565</v>
      </c>
      <c r="G59" s="43" t="n">
        <f aca="false">C59-D59</f>
        <v>2.4</v>
      </c>
    </row>
    <row r="60" customFormat="false" ht="15" hidden="false" customHeight="false" outlineLevel="0" collapsed="false">
      <c r="A60" s="42" t="s">
        <v>181</v>
      </c>
      <c r="B60" s="42" t="s">
        <v>317</v>
      </c>
      <c r="C60" s="43" t="n">
        <v>16.4</v>
      </c>
      <c r="D60" s="43" t="n">
        <v>12.4</v>
      </c>
      <c r="E60" s="43" t="n">
        <f aca="false">C60+D60</f>
        <v>28.8</v>
      </c>
      <c r="F60" s="44" t="n">
        <f aca="false">C60/E60</f>
        <v>0.569444444444444</v>
      </c>
      <c r="G60" s="43" t="n">
        <f aca="false">C60-D60</f>
        <v>4</v>
      </c>
    </row>
    <row r="61" customFormat="false" ht="15" hidden="false" customHeight="false" outlineLevel="0" collapsed="false">
      <c r="A61" s="42" t="s">
        <v>185</v>
      </c>
      <c r="B61" s="42" t="s">
        <v>360</v>
      </c>
      <c r="C61" s="43" t="n">
        <v>15.8</v>
      </c>
      <c r="D61" s="43" t="n">
        <v>14.2</v>
      </c>
      <c r="E61" s="43" t="n">
        <f aca="false">C61+D61</f>
        <v>30</v>
      </c>
      <c r="F61" s="44" t="n">
        <f aca="false">C61/E61</f>
        <v>0.526666666666667</v>
      </c>
      <c r="G61" s="43" t="n">
        <f aca="false">C61-D61</f>
        <v>1.6</v>
      </c>
    </row>
    <row r="62" customFormat="false" ht="15" hidden="false" customHeight="false" outlineLevel="0" collapsed="false">
      <c r="A62" s="42" t="s">
        <v>189</v>
      </c>
      <c r="B62" s="42" t="s">
        <v>361</v>
      </c>
      <c r="C62" s="43" t="n">
        <v>16.8</v>
      </c>
      <c r="D62" s="43" t="n">
        <v>14.4</v>
      </c>
      <c r="E62" s="43" t="n">
        <f aca="false">C62+D62</f>
        <v>31.2</v>
      </c>
      <c r="F62" s="44" t="n">
        <f aca="false">C62/E62</f>
        <v>0.538461538461538</v>
      </c>
      <c r="G62" s="43" t="n">
        <f aca="false">C62-D62</f>
        <v>2.4</v>
      </c>
    </row>
    <row r="63" customFormat="false" ht="15" hidden="false" customHeight="false" outlineLevel="0" collapsed="false">
      <c r="A63" s="42" t="s">
        <v>193</v>
      </c>
      <c r="B63" s="42" t="s">
        <v>362</v>
      </c>
      <c r="C63" s="43" t="n">
        <v>12.7</v>
      </c>
      <c r="D63" s="43" t="n">
        <v>11.3</v>
      </c>
      <c r="E63" s="43" t="n">
        <f aca="false">C63+D63</f>
        <v>24</v>
      </c>
      <c r="F63" s="44" t="n">
        <f aca="false">C63/E63</f>
        <v>0.529166666666667</v>
      </c>
      <c r="G63" s="43" t="n">
        <f aca="false">C63-D63</f>
        <v>1.4</v>
      </c>
    </row>
    <row r="64" customFormat="false" ht="15" hidden="false" customHeight="false" outlineLevel="0" collapsed="false">
      <c r="A64" s="42" t="s">
        <v>197</v>
      </c>
      <c r="B64" s="42" t="s">
        <v>363</v>
      </c>
      <c r="C64" s="43" t="n">
        <v>14.2</v>
      </c>
      <c r="D64" s="43" t="n">
        <v>11</v>
      </c>
      <c r="E64" s="43" t="n">
        <f aca="false">C64+D64</f>
        <v>25.2</v>
      </c>
      <c r="F64" s="44" t="n">
        <f aca="false">C64/E64</f>
        <v>0.563492063492064</v>
      </c>
      <c r="G64" s="43" t="n">
        <f aca="false">C64-D64</f>
        <v>3.2</v>
      </c>
    </row>
    <row r="65" customFormat="false" ht="15" hidden="false" customHeight="false" outlineLevel="0" collapsed="false">
      <c r="A65" s="42" t="s">
        <v>201</v>
      </c>
      <c r="B65" s="42" t="s">
        <v>364</v>
      </c>
      <c r="C65" s="43" t="n">
        <v>14.7</v>
      </c>
      <c r="D65" s="43" t="n">
        <v>11.7</v>
      </c>
      <c r="E65" s="43" t="n">
        <f aca="false">C65+D65</f>
        <v>26.4</v>
      </c>
      <c r="F65" s="44" t="n">
        <f aca="false">C65/E65</f>
        <v>0.556818181818182</v>
      </c>
      <c r="G65" s="43" t="n">
        <f aca="false">C65-D65</f>
        <v>3</v>
      </c>
    </row>
    <row r="66" customFormat="false" ht="15" hidden="false" customHeight="false" outlineLevel="0" collapsed="false">
      <c r="A66" s="42" t="s">
        <v>205</v>
      </c>
      <c r="B66" s="42" t="s">
        <v>365</v>
      </c>
      <c r="C66" s="43" t="n">
        <v>15.3</v>
      </c>
      <c r="D66" s="43" t="n">
        <v>12.3</v>
      </c>
      <c r="E66" s="43" t="n">
        <f aca="false">C66+D66</f>
        <v>27.6</v>
      </c>
      <c r="F66" s="44" t="n">
        <f aca="false">C66/E66</f>
        <v>0.554347826086957</v>
      </c>
      <c r="G66" s="43" t="n">
        <f aca="false">C66-D66</f>
        <v>3</v>
      </c>
    </row>
    <row r="67" customFormat="false" ht="15" hidden="false" customHeight="false" outlineLevel="0" collapsed="false">
      <c r="A67" s="42" t="s">
        <v>209</v>
      </c>
      <c r="B67" s="42" t="s">
        <v>366</v>
      </c>
      <c r="C67" s="43" t="n">
        <v>16.3</v>
      </c>
      <c r="D67" s="43" t="n">
        <v>12.5</v>
      </c>
      <c r="E67" s="43" t="n">
        <f aca="false">C67+D67</f>
        <v>28.8</v>
      </c>
      <c r="F67" s="44" t="n">
        <f aca="false">C67/E67</f>
        <v>0.565972222222222</v>
      </c>
      <c r="G67" s="43" t="n">
        <f aca="false">C67-D67</f>
        <v>3.8</v>
      </c>
    </row>
    <row r="68" customFormat="false" ht="15" hidden="false" customHeight="false" outlineLevel="0" collapsed="false">
      <c r="A68" s="26" t="s">
        <v>367</v>
      </c>
      <c r="B68" s="26" t="s">
        <v>368</v>
      </c>
      <c r="C68" s="45" t="n">
        <f aca="false">AVERAGE(C43:C67)</f>
        <v>15.2</v>
      </c>
      <c r="D68" s="45" t="n">
        <f aca="false">AVERAGE(D43:D67)</f>
        <v>12.304</v>
      </c>
      <c r="E68" s="45" t="n">
        <f aca="false">AVERAGE(E43:E67)</f>
        <v>27.504</v>
      </c>
      <c r="F68" s="46" t="n">
        <f aca="false">C68/E68</f>
        <v>0.552646887725422</v>
      </c>
      <c r="G68" s="45" t="n">
        <f aca="false">AVERAGE(G43:G67)</f>
        <v>2.896</v>
      </c>
    </row>
    <row r="69" customFormat="false" ht="15" hidden="false" customHeight="false" outlineLevel="0" collapsed="false">
      <c r="A69" s="47" t="s">
        <v>394</v>
      </c>
    </row>
    <row r="71" customFormat="false" ht="19.5" hidden="false" customHeight="true" outlineLevel="0" collapsed="false">
      <c r="A71" s="16" t="s">
        <v>395</v>
      </c>
      <c r="B71" s="16"/>
      <c r="C71" s="16"/>
      <c r="D71" s="16"/>
      <c r="E71" s="16"/>
      <c r="F71" s="16"/>
      <c r="G71" s="16"/>
    </row>
    <row r="72" customFormat="false" ht="15" hidden="false" customHeight="false" outlineLevel="0" collapsed="false">
      <c r="A72" s="26" t="s">
        <v>396</v>
      </c>
      <c r="B72" s="48" t="n">
        <v>2</v>
      </c>
    </row>
    <row r="73" customFormat="false" ht="15" hidden="false" customHeight="false" outlineLevel="0" collapsed="false">
      <c r="A73" s="26" t="s">
        <v>397</v>
      </c>
      <c r="B73" s="48" t="n">
        <v>4</v>
      </c>
    </row>
    <row r="75" customFormat="false" ht="31.5" hidden="false" customHeight="true" outlineLevel="0" collapsed="false">
      <c r="A75" s="41" t="s">
        <v>398</v>
      </c>
      <c r="B75" s="41" t="s">
        <v>399</v>
      </c>
      <c r="C75" s="41" t="s">
        <v>400</v>
      </c>
      <c r="D75" s="41" t="s">
        <v>401</v>
      </c>
      <c r="E75" s="41" t="s">
        <v>402</v>
      </c>
      <c r="F75" s="41" t="s">
        <v>403</v>
      </c>
      <c r="G75" s="41" t="s">
        <v>404</v>
      </c>
    </row>
    <row r="76" customFormat="false" ht="15" hidden="false" customHeight="false" outlineLevel="0" collapsed="false">
      <c r="A76" s="49" t="n">
        <v>46266</v>
      </c>
      <c r="B76" s="50" t="n">
        <v>3</v>
      </c>
      <c r="C76" s="50" t="n">
        <v>3.3</v>
      </c>
      <c r="D76" s="50" t="n">
        <f aca="false">AVERAGE(B76:C76)</f>
        <v>3.15</v>
      </c>
      <c r="E76" s="50" t="n">
        <f aca="false">MAX(B76:C76)</f>
        <v>3.3</v>
      </c>
      <c r="F76" s="51" t="str">
        <f aca="false">IF(OR(MIN(B76:C76)&lt;$B$72,MAX(B76:C76)&gt;$B$73),"Fuera de rango","Dentro de rango")</f>
        <v>Dentro de rango</v>
      </c>
      <c r="G76" s="42"/>
    </row>
    <row r="77" customFormat="false" ht="15" hidden="false" customHeight="false" outlineLevel="0" collapsed="false">
      <c r="A77" s="49" t="n">
        <v>46267</v>
      </c>
      <c r="B77" s="50" t="n">
        <v>3</v>
      </c>
      <c r="C77" s="50" t="n">
        <v>3.5</v>
      </c>
      <c r="D77" s="50" t="n">
        <f aca="false">AVERAGE(B77:C77)</f>
        <v>3.25</v>
      </c>
      <c r="E77" s="50" t="n">
        <f aca="false">MAX(B77:C77)</f>
        <v>3.5</v>
      </c>
      <c r="F77" s="51" t="str">
        <f aca="false">IF(OR(MIN(B77:C77)&lt;$B$72,MAX(B77:C77)&gt;$B$73),"Fuera de rango","Dentro de rango")</f>
        <v>Dentro de rango</v>
      </c>
      <c r="G77" s="42"/>
    </row>
    <row r="78" customFormat="false" ht="15" hidden="false" customHeight="false" outlineLevel="0" collapsed="false">
      <c r="A78" s="49" t="n">
        <v>46268</v>
      </c>
      <c r="B78" s="50" t="n">
        <v>2.9</v>
      </c>
      <c r="C78" s="50" t="n">
        <v>3.4</v>
      </c>
      <c r="D78" s="50" t="n">
        <f aca="false">AVERAGE(B78:C78)</f>
        <v>3.15</v>
      </c>
      <c r="E78" s="50" t="n">
        <f aca="false">MAX(B78:C78)</f>
        <v>3.4</v>
      </c>
      <c r="F78" s="51" t="str">
        <f aca="false">IF(OR(MIN(B78:C78)&lt;$B$72,MAX(B78:C78)&gt;$B$73),"Fuera de rango","Dentro de rango")</f>
        <v>Dentro de rango</v>
      </c>
      <c r="G78" s="42"/>
    </row>
    <row r="79" customFormat="false" ht="15" hidden="false" customHeight="false" outlineLevel="0" collapsed="false">
      <c r="A79" s="49" t="n">
        <v>46269</v>
      </c>
      <c r="B79" s="50" t="n">
        <v>3.1</v>
      </c>
      <c r="C79" s="50" t="n">
        <v>3.3</v>
      </c>
      <c r="D79" s="50" t="n">
        <f aca="false">AVERAGE(B79:C79)</f>
        <v>3.2</v>
      </c>
      <c r="E79" s="50" t="n">
        <f aca="false">MAX(B79:C79)</f>
        <v>3.3</v>
      </c>
      <c r="F79" s="51" t="str">
        <f aca="false">IF(OR(MIN(B79:C79)&lt;$B$72,MAX(B79:C79)&gt;$B$73),"Fuera de rango","Dentro de rango")</f>
        <v>Dentro de rango</v>
      </c>
      <c r="G79" s="42"/>
    </row>
    <row r="80" customFormat="false" ht="15" hidden="false" customHeight="false" outlineLevel="0" collapsed="false">
      <c r="A80" s="49" t="n">
        <v>46270</v>
      </c>
      <c r="B80" s="50" t="n">
        <v>2.9</v>
      </c>
      <c r="C80" s="50" t="n">
        <v>3.5</v>
      </c>
      <c r="D80" s="50" t="n">
        <f aca="false">AVERAGE(B80:C80)</f>
        <v>3.2</v>
      </c>
      <c r="E80" s="50" t="n">
        <f aca="false">MAX(B80:C80)</f>
        <v>3.5</v>
      </c>
      <c r="F80" s="51" t="str">
        <f aca="false">IF(OR(MIN(B80:C80)&lt;$B$72,MAX(B80:C80)&gt;$B$73),"Fuera de rango","Dentro de rango")</f>
        <v>Dentro de rango</v>
      </c>
      <c r="G80" s="42"/>
    </row>
    <row r="81" customFormat="false" ht="15" hidden="false" customHeight="false" outlineLevel="0" collapsed="false">
      <c r="A81" s="49" t="n">
        <v>46271</v>
      </c>
      <c r="B81" s="50" t="n">
        <v>2.9</v>
      </c>
      <c r="C81" s="50" t="n">
        <v>3.3</v>
      </c>
      <c r="D81" s="50" t="n">
        <f aca="false">AVERAGE(B81:C81)</f>
        <v>3.1</v>
      </c>
      <c r="E81" s="50" t="n">
        <f aca="false">MAX(B81:C81)</f>
        <v>3.3</v>
      </c>
      <c r="F81" s="51" t="str">
        <f aca="false">IF(OR(MIN(B81:C81)&lt;$B$72,MAX(B81:C81)&gt;$B$73),"Fuera de rango","Dentro de rango")</f>
        <v>Dentro de rango</v>
      </c>
      <c r="G81" s="42"/>
    </row>
    <row r="82" customFormat="false" ht="15" hidden="false" customHeight="false" outlineLevel="0" collapsed="false">
      <c r="A82" s="49" t="n">
        <v>46272</v>
      </c>
      <c r="B82" s="50" t="n">
        <v>2.9</v>
      </c>
      <c r="C82" s="50" t="n">
        <v>3.1</v>
      </c>
      <c r="D82" s="50" t="n">
        <f aca="false">AVERAGE(B82:C82)</f>
        <v>3</v>
      </c>
      <c r="E82" s="50" t="n">
        <f aca="false">MAX(B82:C82)</f>
        <v>3.1</v>
      </c>
      <c r="F82" s="51" t="str">
        <f aca="false">IF(OR(MIN(B82:C82)&lt;$B$72,MAX(B82:C82)&gt;$B$73),"Fuera de rango","Dentro de rango")</f>
        <v>Dentro de rango</v>
      </c>
      <c r="G82" s="42"/>
    </row>
    <row r="83" customFormat="false" ht="15" hidden="false" customHeight="false" outlineLevel="0" collapsed="false">
      <c r="A83" s="49" t="n">
        <v>46273</v>
      </c>
      <c r="B83" s="50" t="n">
        <v>3.1</v>
      </c>
      <c r="C83" s="50" t="n">
        <v>3.6</v>
      </c>
      <c r="D83" s="50" t="n">
        <f aca="false">AVERAGE(B83:C83)</f>
        <v>3.35</v>
      </c>
      <c r="E83" s="50" t="n">
        <f aca="false">MAX(B83:C83)</f>
        <v>3.6</v>
      </c>
      <c r="F83" s="51" t="str">
        <f aca="false">IF(OR(MIN(B83:C83)&lt;$B$72,MAX(B83:C83)&gt;$B$73),"Fuera de rango","Dentro de rango")</f>
        <v>Dentro de rango</v>
      </c>
      <c r="G83" s="42"/>
    </row>
    <row r="84" customFormat="false" ht="15" hidden="false" customHeight="false" outlineLevel="0" collapsed="false">
      <c r="A84" s="49" t="n">
        <v>46274</v>
      </c>
      <c r="B84" s="50" t="n">
        <v>3.6</v>
      </c>
      <c r="C84" s="50" t="n">
        <v>4.6</v>
      </c>
      <c r="D84" s="50" t="n">
        <f aca="false">AVERAGE(B84:C84)</f>
        <v>4.1</v>
      </c>
      <c r="E84" s="50" t="n">
        <f aca="false">MAX(B84:C84)</f>
        <v>4.6</v>
      </c>
      <c r="F84" s="51" t="str">
        <f aca="false">IF(OR(MIN(B84:C84)&lt;$B$72,MAX(B84:C84)&gt;$B$73),"Fuera de rango","Dentro de rango")</f>
        <v>Fuera de rango</v>
      </c>
      <c r="G84" s="42" t="s">
        <v>405</v>
      </c>
    </row>
    <row r="85" customFormat="false" ht="15" hidden="false" customHeight="false" outlineLevel="0" collapsed="false">
      <c r="A85" s="49" t="n">
        <v>46275</v>
      </c>
      <c r="B85" s="50" t="n">
        <v>3</v>
      </c>
      <c r="C85" s="50" t="n">
        <v>3.5</v>
      </c>
      <c r="D85" s="50" t="n">
        <f aca="false">AVERAGE(B85:C85)</f>
        <v>3.25</v>
      </c>
      <c r="E85" s="50" t="n">
        <f aca="false">MAX(B85:C85)</f>
        <v>3.5</v>
      </c>
      <c r="F85" s="51" t="str">
        <f aca="false">IF(OR(MIN(B85:C85)&lt;$B$72,MAX(B85:C85)&gt;$B$73),"Fuera de rango","Dentro de rango")</f>
        <v>Dentro de rango</v>
      </c>
      <c r="G85" s="42"/>
    </row>
    <row r="86" customFormat="false" ht="15" hidden="false" customHeight="false" outlineLevel="0" collapsed="false">
      <c r="A86" s="49" t="n">
        <v>46276</v>
      </c>
      <c r="B86" s="50" t="n">
        <v>3.5</v>
      </c>
      <c r="C86" s="50" t="n">
        <v>3.2</v>
      </c>
      <c r="D86" s="50" t="n">
        <f aca="false">AVERAGE(B86:C86)</f>
        <v>3.35</v>
      </c>
      <c r="E86" s="50" t="n">
        <f aca="false">MAX(B86:C86)</f>
        <v>3.5</v>
      </c>
      <c r="F86" s="51" t="str">
        <f aca="false">IF(OR(MIN(B86:C86)&lt;$B$72,MAX(B86:C86)&gt;$B$73),"Fuera de rango","Dentro de rango")</f>
        <v>Dentro de rango</v>
      </c>
      <c r="G86" s="42"/>
    </row>
    <row r="87" customFormat="false" ht="15" hidden="false" customHeight="false" outlineLevel="0" collapsed="false">
      <c r="A87" s="49" t="n">
        <v>46277</v>
      </c>
      <c r="B87" s="50" t="n">
        <v>2.9</v>
      </c>
      <c r="C87" s="50" t="n">
        <v>3.4</v>
      </c>
      <c r="D87" s="50" t="n">
        <f aca="false">AVERAGE(B87:C87)</f>
        <v>3.15</v>
      </c>
      <c r="E87" s="50" t="n">
        <f aca="false">MAX(B87:C87)</f>
        <v>3.4</v>
      </c>
      <c r="F87" s="51" t="str">
        <f aca="false">IF(OR(MIN(B87:C87)&lt;$B$72,MAX(B87:C87)&gt;$B$73),"Fuera de rango","Dentro de rango")</f>
        <v>Dentro de rango</v>
      </c>
      <c r="G87" s="42"/>
    </row>
    <row r="88" customFormat="false" ht="15" hidden="false" customHeight="false" outlineLevel="0" collapsed="false">
      <c r="A88" s="49" t="n">
        <v>46278</v>
      </c>
      <c r="B88" s="50" t="n">
        <v>3.4</v>
      </c>
      <c r="C88" s="50" t="n">
        <v>3.5</v>
      </c>
      <c r="D88" s="50" t="n">
        <f aca="false">AVERAGE(B88:C88)</f>
        <v>3.45</v>
      </c>
      <c r="E88" s="50" t="n">
        <f aca="false">MAX(B88:C88)</f>
        <v>3.5</v>
      </c>
      <c r="F88" s="51" t="str">
        <f aca="false">IF(OR(MIN(B88:C88)&lt;$B$72,MAX(B88:C88)&gt;$B$73),"Fuera de rango","Dentro de rango")</f>
        <v>Dentro de rango</v>
      </c>
      <c r="G88" s="42"/>
    </row>
    <row r="89" customFormat="false" ht="15" hidden="false" customHeight="false" outlineLevel="0" collapsed="false">
      <c r="A89" s="49" t="n">
        <v>46279</v>
      </c>
      <c r="B89" s="50" t="n">
        <v>3.4</v>
      </c>
      <c r="C89" s="50" t="n">
        <v>3.6</v>
      </c>
      <c r="D89" s="50" t="n">
        <f aca="false">AVERAGE(B89:C89)</f>
        <v>3.5</v>
      </c>
      <c r="E89" s="50" t="n">
        <f aca="false">MAX(B89:C89)</f>
        <v>3.6</v>
      </c>
      <c r="F89" s="51" t="str">
        <f aca="false">IF(OR(MIN(B89:C89)&lt;$B$72,MAX(B89:C89)&gt;$B$73),"Fuera de rango","Dentro de rango")</f>
        <v>Dentro de rango</v>
      </c>
      <c r="G89" s="42"/>
    </row>
    <row r="90" customFormat="false" ht="15" hidden="false" customHeight="false" outlineLevel="0" collapsed="false">
      <c r="A90" s="49" t="n">
        <v>46280</v>
      </c>
      <c r="B90" s="50" t="n">
        <v>3.2</v>
      </c>
      <c r="C90" s="50" t="n">
        <v>3.6</v>
      </c>
      <c r="D90" s="50" t="n">
        <f aca="false">AVERAGE(B90:C90)</f>
        <v>3.4</v>
      </c>
      <c r="E90" s="50" t="n">
        <f aca="false">MAX(B90:C90)</f>
        <v>3.6</v>
      </c>
      <c r="F90" s="51" t="str">
        <f aca="false">IF(OR(MIN(B90:C90)&lt;$B$72,MAX(B90:C90)&gt;$B$73),"Fuera de rango","Dentro de rango")</f>
        <v>Dentro de rango</v>
      </c>
      <c r="G90" s="42"/>
    </row>
    <row r="91" customFormat="false" ht="15" hidden="false" customHeight="false" outlineLevel="0" collapsed="false">
      <c r="A91" s="49" t="n">
        <v>46281</v>
      </c>
      <c r="B91" s="50" t="n">
        <v>3.4</v>
      </c>
      <c r="C91" s="50" t="n">
        <v>3.4</v>
      </c>
      <c r="D91" s="50" t="n">
        <f aca="false">AVERAGE(B91:C91)</f>
        <v>3.4</v>
      </c>
      <c r="E91" s="50" t="n">
        <f aca="false">MAX(B91:C91)</f>
        <v>3.4</v>
      </c>
      <c r="F91" s="51" t="str">
        <f aca="false">IF(OR(MIN(B91:C91)&lt;$B$72,MAX(B91:C91)&gt;$B$73),"Fuera de rango","Dentro de rango")</f>
        <v>Dentro de rango</v>
      </c>
      <c r="G91" s="42"/>
    </row>
    <row r="92" customFormat="false" ht="15" hidden="false" customHeight="false" outlineLevel="0" collapsed="false">
      <c r="A92" s="49" t="n">
        <v>46282</v>
      </c>
      <c r="B92" s="50" t="n">
        <v>4.3</v>
      </c>
      <c r="C92" s="50" t="n">
        <v>4.8</v>
      </c>
      <c r="D92" s="50" t="n">
        <f aca="false">AVERAGE(B92:C92)</f>
        <v>4.55</v>
      </c>
      <c r="E92" s="50" t="n">
        <f aca="false">MAX(B92:C92)</f>
        <v>4.8</v>
      </c>
      <c r="F92" s="51" t="str">
        <f aca="false">IF(OR(MIN(B92:C92)&lt;$B$72,MAX(B92:C92)&gt;$B$73),"Fuera de rango","Dentro de rango")</f>
        <v>Fuera de rango</v>
      </c>
      <c r="G92" s="42" t="s">
        <v>406</v>
      </c>
    </row>
    <row r="93" customFormat="false" ht="15" hidden="false" customHeight="false" outlineLevel="0" collapsed="false">
      <c r="A93" s="49" t="n">
        <v>46283</v>
      </c>
      <c r="B93" s="50" t="n">
        <v>3.4</v>
      </c>
      <c r="C93" s="50" t="n">
        <v>3.5</v>
      </c>
      <c r="D93" s="50" t="n">
        <f aca="false">AVERAGE(B93:C93)</f>
        <v>3.45</v>
      </c>
      <c r="E93" s="50" t="n">
        <f aca="false">MAX(B93:C93)</f>
        <v>3.5</v>
      </c>
      <c r="F93" s="51" t="str">
        <f aca="false">IF(OR(MIN(B93:C93)&lt;$B$72,MAX(B93:C93)&gt;$B$73),"Fuera de rango","Dentro de rango")</f>
        <v>Dentro de rango</v>
      </c>
      <c r="G93" s="42"/>
    </row>
    <row r="94" customFormat="false" ht="15" hidden="false" customHeight="false" outlineLevel="0" collapsed="false">
      <c r="A94" s="49" t="n">
        <v>46284</v>
      </c>
      <c r="B94" s="50" t="n">
        <v>2.9</v>
      </c>
      <c r="C94" s="50" t="n">
        <v>3</v>
      </c>
      <c r="D94" s="50" t="n">
        <f aca="false">AVERAGE(B94:C94)</f>
        <v>2.95</v>
      </c>
      <c r="E94" s="50" t="n">
        <f aca="false">MAX(B94:C94)</f>
        <v>3</v>
      </c>
      <c r="F94" s="51" t="str">
        <f aca="false">IF(OR(MIN(B94:C94)&lt;$B$72,MAX(B94:C94)&gt;$B$73),"Fuera de rango","Dentro de rango")</f>
        <v>Dentro de rango</v>
      </c>
      <c r="G94" s="42"/>
    </row>
    <row r="95" customFormat="false" ht="15" hidden="false" customHeight="false" outlineLevel="0" collapsed="false">
      <c r="A95" s="49" t="n">
        <v>46285</v>
      </c>
      <c r="B95" s="50" t="n">
        <v>3.1</v>
      </c>
      <c r="C95" s="50" t="n">
        <v>3.1</v>
      </c>
      <c r="D95" s="50" t="n">
        <f aca="false">AVERAGE(B95:C95)</f>
        <v>3.1</v>
      </c>
      <c r="E95" s="50" t="n">
        <f aca="false">MAX(B95:C95)</f>
        <v>3.1</v>
      </c>
      <c r="F95" s="51" t="str">
        <f aca="false">IF(OR(MIN(B95:C95)&lt;$B$72,MAX(B95:C95)&gt;$B$73),"Fuera de rango","Dentro de rango")</f>
        <v>Dentro de rango</v>
      </c>
      <c r="G95" s="42"/>
    </row>
    <row r="96" customFormat="false" ht="15" hidden="false" customHeight="false" outlineLevel="0" collapsed="false">
      <c r="A96" s="49" t="n">
        <v>46286</v>
      </c>
      <c r="B96" s="50" t="n">
        <v>3.5</v>
      </c>
      <c r="C96" s="50" t="n">
        <v>3.7</v>
      </c>
      <c r="D96" s="50" t="n">
        <f aca="false">AVERAGE(B96:C96)</f>
        <v>3.6</v>
      </c>
      <c r="E96" s="50" t="n">
        <f aca="false">MAX(B96:C96)</f>
        <v>3.7</v>
      </c>
      <c r="F96" s="51" t="str">
        <f aca="false">IF(OR(MIN(B96:C96)&lt;$B$72,MAX(B96:C96)&gt;$B$73),"Fuera de rango","Dentro de rango")</f>
        <v>Dentro de rango</v>
      </c>
      <c r="G96" s="42"/>
    </row>
    <row r="97" customFormat="false" ht="15" hidden="false" customHeight="false" outlineLevel="0" collapsed="false">
      <c r="A97" s="49" t="n">
        <v>46287</v>
      </c>
      <c r="B97" s="50" t="n">
        <v>3.1</v>
      </c>
      <c r="C97" s="50" t="n">
        <v>3.5</v>
      </c>
      <c r="D97" s="50" t="n">
        <f aca="false">AVERAGE(B97:C97)</f>
        <v>3.3</v>
      </c>
      <c r="E97" s="50" t="n">
        <f aca="false">MAX(B97:C97)</f>
        <v>3.5</v>
      </c>
      <c r="F97" s="51" t="str">
        <f aca="false">IF(OR(MIN(B97:C97)&lt;$B$72,MAX(B97:C97)&gt;$B$73),"Fuera de rango","Dentro de rango")</f>
        <v>Dentro de rango</v>
      </c>
      <c r="G97" s="42"/>
    </row>
    <row r="98" customFormat="false" ht="15" hidden="false" customHeight="false" outlineLevel="0" collapsed="false">
      <c r="A98" s="49" t="n">
        <v>46288</v>
      </c>
      <c r="B98" s="50" t="n">
        <v>3.2</v>
      </c>
      <c r="C98" s="50" t="n">
        <v>3.1</v>
      </c>
      <c r="D98" s="50" t="n">
        <f aca="false">AVERAGE(B98:C98)</f>
        <v>3.15</v>
      </c>
      <c r="E98" s="50" t="n">
        <f aca="false">MAX(B98:C98)</f>
        <v>3.2</v>
      </c>
      <c r="F98" s="51" t="str">
        <f aca="false">IF(OR(MIN(B98:C98)&lt;$B$72,MAX(B98:C98)&gt;$B$73),"Fuera de rango","Dentro de rango")</f>
        <v>Dentro de rango</v>
      </c>
      <c r="G98" s="42"/>
    </row>
    <row r="99" customFormat="false" ht="15" hidden="false" customHeight="false" outlineLevel="0" collapsed="false">
      <c r="A99" s="49" t="n">
        <v>46289</v>
      </c>
      <c r="B99" s="50" t="n">
        <v>1.8</v>
      </c>
      <c r="C99" s="50" t="n">
        <v>3.3</v>
      </c>
      <c r="D99" s="50" t="n">
        <f aca="false">AVERAGE(B99:C99)</f>
        <v>2.55</v>
      </c>
      <c r="E99" s="50" t="n">
        <f aca="false">MAX(B99:C99)</f>
        <v>3.3</v>
      </c>
      <c r="F99" s="51" t="str">
        <f aca="false">IF(OR(MIN(B99:C99)&lt;$B$72,MAX(B99:C99)&gt;$B$73),"Fuera de rango","Dentro de rango")</f>
        <v>Fuera de rango</v>
      </c>
      <c r="G99" s="42" t="s">
        <v>407</v>
      </c>
    </row>
    <row r="100" customFormat="false" ht="15" hidden="false" customHeight="false" outlineLevel="0" collapsed="false">
      <c r="A100" s="49" t="n">
        <v>46290</v>
      </c>
      <c r="B100" s="50" t="n">
        <v>3.2</v>
      </c>
      <c r="C100" s="50" t="n">
        <v>3.8</v>
      </c>
      <c r="D100" s="50" t="n">
        <f aca="false">AVERAGE(B100:C100)</f>
        <v>3.5</v>
      </c>
      <c r="E100" s="50" t="n">
        <f aca="false">MAX(B100:C100)</f>
        <v>3.8</v>
      </c>
      <c r="F100" s="51" t="str">
        <f aca="false">IF(OR(MIN(B100:C100)&lt;$B$72,MAX(B100:C100)&gt;$B$73),"Fuera de rango","Dentro de rango")</f>
        <v>Dentro de rango</v>
      </c>
      <c r="G100" s="42"/>
    </row>
    <row r="101" customFormat="false" ht="15" hidden="false" customHeight="false" outlineLevel="0" collapsed="false">
      <c r="A101" s="49" t="n">
        <v>46291</v>
      </c>
      <c r="B101" s="50" t="n">
        <v>2.9</v>
      </c>
      <c r="C101" s="50" t="n">
        <v>3</v>
      </c>
      <c r="D101" s="50" t="n">
        <f aca="false">AVERAGE(B101:C101)</f>
        <v>2.95</v>
      </c>
      <c r="E101" s="50" t="n">
        <f aca="false">MAX(B101:C101)</f>
        <v>3</v>
      </c>
      <c r="F101" s="51" t="str">
        <f aca="false">IF(OR(MIN(B101:C101)&lt;$B$72,MAX(B101:C101)&gt;$B$73),"Fuera de rango","Dentro de rango")</f>
        <v>Dentro de rango</v>
      </c>
      <c r="G101" s="42"/>
    </row>
    <row r="102" customFormat="false" ht="15" hidden="false" customHeight="false" outlineLevel="0" collapsed="false">
      <c r="A102" s="49" t="n">
        <v>46292</v>
      </c>
      <c r="B102" s="50" t="n">
        <v>3.1</v>
      </c>
      <c r="C102" s="50" t="n">
        <v>3.2</v>
      </c>
      <c r="D102" s="50" t="n">
        <f aca="false">AVERAGE(B102:C102)</f>
        <v>3.15</v>
      </c>
      <c r="E102" s="50" t="n">
        <f aca="false">MAX(B102:C102)</f>
        <v>3.2</v>
      </c>
      <c r="F102" s="51" t="str">
        <f aca="false">IF(OR(MIN(B102:C102)&lt;$B$72,MAX(B102:C102)&gt;$B$73),"Fuera de rango","Dentro de rango")</f>
        <v>Dentro de rango</v>
      </c>
      <c r="G102" s="42"/>
    </row>
    <row r="103" customFormat="false" ht="15" hidden="false" customHeight="false" outlineLevel="0" collapsed="false">
      <c r="A103" s="49" t="n">
        <v>46293</v>
      </c>
      <c r="B103" s="50" t="n">
        <v>3.5</v>
      </c>
      <c r="C103" s="50" t="n">
        <v>3.5</v>
      </c>
      <c r="D103" s="50" t="n">
        <f aca="false">AVERAGE(B103:C103)</f>
        <v>3.5</v>
      </c>
      <c r="E103" s="50" t="n">
        <f aca="false">MAX(B103:C103)</f>
        <v>3.5</v>
      </c>
      <c r="F103" s="51" t="str">
        <f aca="false">IF(OR(MIN(B103:C103)&lt;$B$72,MAX(B103:C103)&gt;$B$73),"Fuera de rango","Dentro de rango")</f>
        <v>Dentro de rango</v>
      </c>
      <c r="G103" s="42"/>
    </row>
    <row r="104" customFormat="false" ht="15" hidden="false" customHeight="false" outlineLevel="0" collapsed="false">
      <c r="A104" s="49" t="n">
        <v>46294</v>
      </c>
      <c r="B104" s="50" t="n">
        <v>3.5</v>
      </c>
      <c r="C104" s="50" t="n">
        <v>3.4</v>
      </c>
      <c r="D104" s="50" t="n">
        <f aca="false">AVERAGE(B104:C104)</f>
        <v>3.45</v>
      </c>
      <c r="E104" s="50" t="n">
        <f aca="false">MAX(B104:C104)</f>
        <v>3.5</v>
      </c>
      <c r="F104" s="51" t="str">
        <f aca="false">IF(OR(MIN(B104:C104)&lt;$B$72,MAX(B104:C104)&gt;$B$73),"Fuera de rango","Dentro de rango")</f>
        <v>Dentro de rango</v>
      </c>
      <c r="G104" s="42"/>
    </row>
    <row r="105" customFormat="false" ht="15" hidden="false" customHeight="false" outlineLevel="0" collapsed="false">
      <c r="A105" s="49" t="n">
        <v>46295</v>
      </c>
      <c r="B105" s="50" t="n">
        <v>3.5</v>
      </c>
      <c r="C105" s="50" t="n">
        <v>3.2</v>
      </c>
      <c r="D105" s="50" t="n">
        <f aca="false">AVERAGE(B105:C105)</f>
        <v>3.35</v>
      </c>
      <c r="E105" s="50" t="n">
        <f aca="false">MAX(B105:C105)</f>
        <v>3.5</v>
      </c>
      <c r="F105" s="51" t="str">
        <f aca="false">IF(OR(MIN(B105:C105)&lt;$B$72,MAX(B105:C105)&gt;$B$73),"Fuera de rango","Dentro de rango")</f>
        <v>Dentro de rango</v>
      </c>
      <c r="G105" s="42"/>
    </row>
    <row r="106" customFormat="false" ht="15" hidden="false" customHeight="false" outlineLevel="0" collapsed="false">
      <c r="A106" s="52" t="s">
        <v>408</v>
      </c>
      <c r="B106" s="53" t="n">
        <f aca="false">AVERAGE(B76:B105)</f>
        <v>3.17333333333333</v>
      </c>
      <c r="C106" s="53" t="n">
        <f aca="false">AVERAGE(C76:C105)</f>
        <v>3.46333333333333</v>
      </c>
      <c r="D106" s="53" t="n">
        <f aca="false">AVERAGE(D76:D105)</f>
        <v>3.31833333333333</v>
      </c>
      <c r="E106" s="53" t="n">
        <f aca="false">MAX(E76:E105)</f>
        <v>4.8</v>
      </c>
      <c r="F106" s="46" t="n">
        <f aca="false">COUNTIF(F76:F105,"Dentro de rango")/COUNTA(F76:F105)</f>
        <v>0.9</v>
      </c>
      <c r="G106" s="54" t="str">
        <f aca="false">"Días fuera de rango: "&amp;COUNTIF(F76:F105,"Fuera de rango")&amp;" de "&amp;COUNTA(F76:F105)</f>
        <v>Días fuera de rango: 3 de 30</v>
      </c>
    </row>
    <row r="107" customFormat="false" ht="15" hidden="false" customHeight="false" outlineLevel="0" collapsed="false">
      <c r="A107" s="47" t="s">
        <v>409</v>
      </c>
    </row>
  </sheetData>
  <mergeCells count="4">
    <mergeCell ref="A4:O4"/>
    <mergeCell ref="A33:G33"/>
    <mergeCell ref="A41:G41"/>
    <mergeCell ref="A71:G71"/>
  </mergeCells>
  <conditionalFormatting sqref="F43:F67">
    <cfRule type="cellIs" priority="2" operator="greaterThan" aboveAverage="0" equalAverage="0" bottom="0" percent="0" rank="0" text="" dxfId="0">
      <formula>0.6</formula>
    </cfRule>
  </conditionalFormatting>
  <conditionalFormatting sqref="B76:C105">
    <cfRule type="expression" priority="3" aboveAverage="0" equalAverage="0" bottom="0" percent="0" rank="0" text="" dxfId="0">
      <formula>OR(B76&lt;$B$72,B76&gt;$B$73)</formula>
    </cfRule>
  </conditionalFormatting>
  <conditionalFormatting sqref="F76:F105">
    <cfRule type="expression" priority="4" aboveAverage="0" equalAverage="0" bottom="0" percent="0" rank="0" text="" dxfId="0">
      <formula>F76="Fuera de rango"</formula>
    </cfRule>
    <cfRule type="expression" priority="5" aboveAverage="0" equalAverage="0" bottom="0" percent="0" rank="0" text="" dxfId="1">
      <formula>F76="Dentro de rango"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89"/>
    <col collapsed="false" customWidth="true" hidden="false" outlineLevel="0" max="2" min="2" style="0" width="21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21"/>
    <col collapsed="false" customWidth="true" hidden="false" outlineLevel="0" max="7" min="7" style="0" width="29"/>
    <col collapsed="false" customWidth="true" hidden="false" outlineLevel="0" max="8" min="8" style="0" width="19"/>
    <col collapsed="false" customWidth="true" hidden="false" outlineLevel="0" max="9" min="9" style="0" width="26"/>
  </cols>
  <sheetData>
    <row r="1" customFormat="false" ht="21" hidden="false" customHeight="true" outlineLevel="0" collapsed="false">
      <c r="A1" s="1" t="s">
        <v>410</v>
      </c>
    </row>
    <row r="2" customFormat="false" ht="15" hidden="false" customHeight="false" outlineLevel="0" collapsed="false">
      <c r="A2" s="2" t="s">
        <v>411</v>
      </c>
    </row>
    <row r="4" customFormat="false" ht="15" hidden="false" customHeight="false" outlineLevel="0" collapsed="false">
      <c r="A4" s="16" t="s">
        <v>412</v>
      </c>
      <c r="B4" s="16"/>
      <c r="C4" s="16"/>
      <c r="D4" s="16"/>
      <c r="E4" s="16"/>
      <c r="F4" s="16"/>
      <c r="G4" s="16"/>
      <c r="H4" s="16"/>
      <c r="I4" s="16"/>
    </row>
    <row r="5" customFormat="false" ht="15" hidden="false" customHeight="false" outlineLevel="0" collapsed="false">
      <c r="A5" s="4" t="s">
        <v>345</v>
      </c>
      <c r="B5" s="4" t="s">
        <v>413</v>
      </c>
      <c r="C5" s="4" t="s">
        <v>100</v>
      </c>
      <c r="D5" s="4" t="s">
        <v>414</v>
      </c>
      <c r="E5" s="4" t="s">
        <v>415</v>
      </c>
      <c r="F5" s="4" t="s">
        <v>416</v>
      </c>
      <c r="G5" s="4" t="s">
        <v>417</v>
      </c>
      <c r="H5" s="4" t="s">
        <v>418</v>
      </c>
      <c r="I5" s="4" t="s">
        <v>99</v>
      </c>
    </row>
    <row r="6" customFormat="false" ht="15" hidden="false" customHeight="false" outlineLevel="0" collapsed="false">
      <c r="A6" s="7" t="s">
        <v>106</v>
      </c>
      <c r="B6" s="7" t="s">
        <v>419</v>
      </c>
      <c r="C6" s="55" t="n">
        <v>2</v>
      </c>
      <c r="D6" s="7" t="s">
        <v>420</v>
      </c>
      <c r="E6" s="10" t="s">
        <v>421</v>
      </c>
      <c r="F6" s="7" t="s">
        <v>422</v>
      </c>
      <c r="G6" s="7" t="s">
        <v>423</v>
      </c>
      <c r="H6" s="34" t="n">
        <v>76</v>
      </c>
      <c r="I6" s="7" t="s">
        <v>118</v>
      </c>
    </row>
    <row r="7" customFormat="false" ht="15" hidden="false" customHeight="false" outlineLevel="0" collapsed="false">
      <c r="A7" s="7" t="s">
        <v>116</v>
      </c>
      <c r="B7" s="7" t="s">
        <v>424</v>
      </c>
      <c r="C7" s="55" t="n">
        <v>3</v>
      </c>
      <c r="D7" s="7" t="s">
        <v>425</v>
      </c>
      <c r="E7" s="10" t="s">
        <v>426</v>
      </c>
      <c r="F7" s="7" t="s">
        <v>427</v>
      </c>
      <c r="G7" s="7" t="s">
        <v>428</v>
      </c>
      <c r="H7" s="34" t="n">
        <v>75</v>
      </c>
      <c r="I7" s="7" t="s">
        <v>118</v>
      </c>
    </row>
    <row r="8" customFormat="false" ht="15" hidden="false" customHeight="false" outlineLevel="0" collapsed="false">
      <c r="A8" s="7" t="s">
        <v>121</v>
      </c>
      <c r="B8" s="7" t="s">
        <v>429</v>
      </c>
      <c r="C8" s="55" t="n">
        <v>1</v>
      </c>
      <c r="D8" s="7" t="s">
        <v>430</v>
      </c>
      <c r="E8" s="10" t="s">
        <v>431</v>
      </c>
      <c r="F8" s="7" t="s">
        <v>432</v>
      </c>
      <c r="G8" s="7" t="s">
        <v>433</v>
      </c>
      <c r="H8" s="34" t="n">
        <v>85</v>
      </c>
      <c r="I8" s="7" t="s">
        <v>434</v>
      </c>
    </row>
    <row r="9" customFormat="false" ht="15" hidden="false" customHeight="false" outlineLevel="0" collapsed="false">
      <c r="A9" s="7" t="s">
        <v>125</v>
      </c>
      <c r="B9" s="7" t="s">
        <v>435</v>
      </c>
      <c r="C9" s="55" t="n">
        <v>4</v>
      </c>
      <c r="D9" s="7" t="s">
        <v>436</v>
      </c>
      <c r="E9" s="10" t="s">
        <v>421</v>
      </c>
      <c r="F9" s="7" t="s">
        <v>422</v>
      </c>
      <c r="G9" s="7" t="s">
        <v>437</v>
      </c>
      <c r="H9" s="34" t="n">
        <v>49</v>
      </c>
      <c r="I9" s="7" t="s">
        <v>118</v>
      </c>
    </row>
    <row r="10" customFormat="false" ht="15" hidden="false" customHeight="false" outlineLevel="0" collapsed="false">
      <c r="A10" s="7" t="s">
        <v>129</v>
      </c>
      <c r="B10" s="7" t="s">
        <v>438</v>
      </c>
      <c r="C10" s="55" t="n">
        <v>2</v>
      </c>
      <c r="D10" s="7" t="s">
        <v>439</v>
      </c>
      <c r="E10" s="10" t="s">
        <v>440</v>
      </c>
      <c r="F10" s="7" t="s">
        <v>441</v>
      </c>
      <c r="G10" s="7" t="s">
        <v>440</v>
      </c>
      <c r="H10" s="34" t="n">
        <v>120</v>
      </c>
      <c r="I10" s="7" t="s">
        <v>442</v>
      </c>
    </row>
    <row r="13" customFormat="false" ht="15" hidden="false" customHeight="false" outlineLevel="0" collapsed="false">
      <c r="A13" s="16" t="s">
        <v>443</v>
      </c>
      <c r="B13" s="16"/>
      <c r="C13" s="16"/>
      <c r="D13" s="16"/>
      <c r="E13" s="16"/>
      <c r="F13" s="16"/>
      <c r="G13" s="16"/>
      <c r="H13" s="16"/>
      <c r="I13" s="16"/>
    </row>
    <row r="14" customFormat="false" ht="15" hidden="false" customHeight="false" outlineLevel="0" collapsed="false">
      <c r="A14" s="4" t="s">
        <v>398</v>
      </c>
      <c r="B14" s="4" t="s">
        <v>444</v>
      </c>
      <c r="C14" s="4" t="s">
        <v>445</v>
      </c>
      <c r="D14" s="4" t="s">
        <v>446</v>
      </c>
      <c r="E14" s="4" t="s">
        <v>447</v>
      </c>
      <c r="F14" s="4" t="s">
        <v>448</v>
      </c>
      <c r="G14" s="4" t="s">
        <v>449</v>
      </c>
      <c r="H14" s="4" t="s">
        <v>450</v>
      </c>
      <c r="I14" s="4" t="s">
        <v>451</v>
      </c>
    </row>
    <row r="15" customFormat="false" ht="15" hidden="false" customHeight="false" outlineLevel="0" collapsed="false">
      <c r="A15" s="7" t="s">
        <v>452</v>
      </c>
      <c r="B15" s="7" t="s">
        <v>453</v>
      </c>
      <c r="C15" s="22" t="s">
        <v>454</v>
      </c>
      <c r="D15" s="22" t="s">
        <v>455</v>
      </c>
      <c r="E15" s="7" t="s">
        <v>456</v>
      </c>
      <c r="F15" s="22" t="s">
        <v>457</v>
      </c>
      <c r="G15" s="7" t="n">
        <v>0</v>
      </c>
      <c r="H15" s="22" t="s">
        <v>458</v>
      </c>
      <c r="I15" s="7" t="s">
        <v>459</v>
      </c>
    </row>
    <row r="16" customFormat="false" ht="15" hidden="false" customHeight="false" outlineLevel="0" collapsed="false">
      <c r="A16" s="7" t="s">
        <v>452</v>
      </c>
      <c r="B16" s="7" t="s">
        <v>460</v>
      </c>
      <c r="C16" s="22" t="s">
        <v>461</v>
      </c>
      <c r="D16" s="22" t="s">
        <v>462</v>
      </c>
      <c r="E16" s="7" t="s">
        <v>463</v>
      </c>
      <c r="F16" s="22" t="s">
        <v>457</v>
      </c>
      <c r="G16" s="7" t="n">
        <v>0</v>
      </c>
      <c r="H16" s="22" t="s">
        <v>458</v>
      </c>
      <c r="I16" s="7" t="s">
        <v>459</v>
      </c>
    </row>
    <row r="17" customFormat="false" ht="15" hidden="false" customHeight="false" outlineLevel="0" collapsed="false">
      <c r="A17" s="7" t="s">
        <v>464</v>
      </c>
      <c r="B17" s="7" t="s">
        <v>129</v>
      </c>
      <c r="C17" s="22" t="s">
        <v>465</v>
      </c>
      <c r="D17" s="22" t="s">
        <v>466</v>
      </c>
      <c r="E17" s="7" t="s">
        <v>467</v>
      </c>
      <c r="F17" s="22" t="s">
        <v>468</v>
      </c>
      <c r="G17" s="7" t="n">
        <v>4</v>
      </c>
      <c r="H17" s="22" t="s">
        <v>469</v>
      </c>
      <c r="I17" s="7" t="s">
        <v>470</v>
      </c>
    </row>
    <row r="18" customFormat="false" ht="15" hidden="false" customHeight="false" outlineLevel="0" collapsed="false">
      <c r="A18" s="7" t="s">
        <v>471</v>
      </c>
      <c r="B18" s="7" t="s">
        <v>472</v>
      </c>
      <c r="C18" s="22" t="s">
        <v>473</v>
      </c>
      <c r="D18" s="22" t="s">
        <v>474</v>
      </c>
      <c r="E18" s="7" t="s">
        <v>475</v>
      </c>
      <c r="F18" s="22" t="s">
        <v>476</v>
      </c>
      <c r="G18" s="7" t="n">
        <v>28</v>
      </c>
      <c r="H18" s="22" t="s">
        <v>477</v>
      </c>
      <c r="I18" s="7" t="s">
        <v>478</v>
      </c>
    </row>
  </sheetData>
  <mergeCells count="2">
    <mergeCell ref="A4:I4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99"/>
    <col collapsed="false" customWidth="true" hidden="false" outlineLevel="0" max="2" min="2" style="0" width="23"/>
    <col collapsed="false" customWidth="true" hidden="false" outlineLevel="0" max="3" min="3" style="0" width="21"/>
    <col collapsed="false" customWidth="true" hidden="false" outlineLevel="0" max="5" min="4" style="0" width="19"/>
    <col collapsed="false" customWidth="true" hidden="false" outlineLevel="0" max="6" min="6" style="0" width="23"/>
    <col collapsed="false" customWidth="true" hidden="false" outlineLevel="0" max="7" min="7" style="0" width="34"/>
    <col collapsed="false" customWidth="true" hidden="false" outlineLevel="0" max="8" min="8" style="0" width="25"/>
  </cols>
  <sheetData>
    <row r="1" customFormat="false" ht="21" hidden="false" customHeight="true" outlineLevel="0" collapsed="false">
      <c r="A1" s="1" t="s">
        <v>479</v>
      </c>
    </row>
    <row r="2" customFormat="false" ht="15" hidden="false" customHeight="false" outlineLevel="0" collapsed="false">
      <c r="A2" s="2" t="s">
        <v>480</v>
      </c>
    </row>
    <row r="4" customFormat="false" ht="15" hidden="false" customHeight="false" outlineLevel="0" collapsed="false">
      <c r="A4" s="16" t="s">
        <v>481</v>
      </c>
      <c r="B4" s="16"/>
      <c r="C4" s="16"/>
      <c r="D4" s="16"/>
      <c r="E4" s="16"/>
      <c r="F4" s="16"/>
      <c r="G4" s="16"/>
      <c r="H4" s="16"/>
    </row>
    <row r="5" customFormat="false" ht="15" hidden="false" customHeight="false" outlineLevel="0" collapsed="false">
      <c r="A5" s="4" t="s">
        <v>69</v>
      </c>
      <c r="B5" s="4" t="s">
        <v>482</v>
      </c>
      <c r="C5" s="4" t="s">
        <v>483</v>
      </c>
      <c r="D5" s="4" t="s">
        <v>484</v>
      </c>
      <c r="E5" s="4" t="s">
        <v>485</v>
      </c>
      <c r="F5" s="4" t="s">
        <v>486</v>
      </c>
      <c r="G5" s="4" t="s">
        <v>487</v>
      </c>
      <c r="H5" s="4" t="s">
        <v>488</v>
      </c>
    </row>
    <row r="6" customFormat="false" ht="15" hidden="false" customHeight="false" outlineLevel="0" collapsed="false">
      <c r="A6" s="22" t="s">
        <v>78</v>
      </c>
      <c r="B6" s="23" t="n">
        <v>1200</v>
      </c>
      <c r="C6" s="23" t="n">
        <v>1239.6</v>
      </c>
      <c r="D6" s="23" t="n">
        <f aca="false">C6-B6</f>
        <v>39.5999999999999</v>
      </c>
      <c r="E6" s="24" t="n">
        <f aca="false">D6*1000</f>
        <v>39599.9999999999</v>
      </c>
      <c r="F6" s="24" t="n">
        <f aca="false">'Resumen Ejecutivo CMM'!E21</f>
        <v>22010</v>
      </c>
      <c r="G6" s="23" t="n">
        <f aca="false">E6/F6</f>
        <v>1.79918218991367</v>
      </c>
      <c r="H6" s="22" t="s">
        <v>489</v>
      </c>
    </row>
    <row r="7" customFormat="false" ht="15" hidden="false" customHeight="false" outlineLevel="0" collapsed="false">
      <c r="A7" s="22" t="s">
        <v>79</v>
      </c>
      <c r="B7" s="23" t="n">
        <v>1239.6</v>
      </c>
      <c r="C7" s="23" t="n">
        <v>1274.6</v>
      </c>
      <c r="D7" s="23" t="n">
        <f aca="false">C7-B7</f>
        <v>35</v>
      </c>
      <c r="E7" s="24" t="n">
        <f aca="false">D7*1000</f>
        <v>35000</v>
      </c>
      <c r="F7" s="24" t="n">
        <f aca="false">'Resumen Ejecutivo CMM'!E22</f>
        <v>19460</v>
      </c>
      <c r="G7" s="23" t="n">
        <f aca="false">E7/F7</f>
        <v>1.79856115107914</v>
      </c>
      <c r="H7" s="22" t="s">
        <v>489</v>
      </c>
    </row>
    <row r="8" customFormat="false" ht="15" hidden="false" customHeight="false" outlineLevel="0" collapsed="false">
      <c r="A8" s="22" t="s">
        <v>80</v>
      </c>
      <c r="B8" s="23" t="n">
        <v>1274.6</v>
      </c>
      <c r="C8" s="23" t="n">
        <v>1312.5</v>
      </c>
      <c r="D8" s="23" t="n">
        <f aca="false">C8-B8</f>
        <v>37.9000000000001</v>
      </c>
      <c r="E8" s="24" t="n">
        <f aca="false">D8*1000</f>
        <v>37900.0000000001</v>
      </c>
      <c r="F8" s="24" t="n">
        <f aca="false">'Resumen Ejecutivo CMM'!E23</f>
        <v>21080</v>
      </c>
      <c r="G8" s="23" t="n">
        <f aca="false">E8/F8</f>
        <v>1.79791271347249</v>
      </c>
      <c r="H8" s="22" t="s">
        <v>489</v>
      </c>
    </row>
    <row r="9" customFormat="false" ht="15" hidden="false" customHeight="false" outlineLevel="0" collapsed="false">
      <c r="A9" s="22" t="s">
        <v>81</v>
      </c>
      <c r="B9" s="23" t="n">
        <v>1312.5</v>
      </c>
      <c r="C9" s="23" t="n">
        <v>1350.5</v>
      </c>
      <c r="D9" s="23" t="n">
        <f aca="false">C9-B9</f>
        <v>38</v>
      </c>
      <c r="E9" s="24" t="n">
        <f aca="false">D9*1000</f>
        <v>38000</v>
      </c>
      <c r="F9" s="24" t="n">
        <f aca="false">'Resumen Ejecutivo CMM'!E24</f>
        <v>21150</v>
      </c>
      <c r="G9" s="23" t="n">
        <f aca="false">E9/F9</f>
        <v>1.79669030732861</v>
      </c>
      <c r="H9" s="22" t="s">
        <v>489</v>
      </c>
    </row>
    <row r="10" customFormat="false" ht="15" hidden="false" customHeight="false" outlineLevel="0" collapsed="false">
      <c r="A10" s="22" t="s">
        <v>82</v>
      </c>
      <c r="B10" s="23" t="n">
        <v>1350.5</v>
      </c>
      <c r="C10" s="23" t="n">
        <v>1390.9</v>
      </c>
      <c r="D10" s="23" t="n">
        <f aca="false">C10-B10</f>
        <v>40.4000000000001</v>
      </c>
      <c r="E10" s="24" t="n">
        <f aca="false">D10*1000</f>
        <v>40400.0000000001</v>
      </c>
      <c r="F10" s="24" t="n">
        <f aca="false">'Resumen Ejecutivo CMM'!E25</f>
        <v>22475</v>
      </c>
      <c r="G10" s="23" t="n">
        <f aca="false">E10/F10</f>
        <v>1.79755283648499</v>
      </c>
      <c r="H10" s="22" t="s">
        <v>489</v>
      </c>
    </row>
    <row r="11" customFormat="false" ht="15" hidden="false" customHeight="false" outlineLevel="0" collapsed="false">
      <c r="A11" s="22" t="s">
        <v>83</v>
      </c>
      <c r="B11" s="23" t="n">
        <v>1390.9</v>
      </c>
      <c r="C11" s="23" t="n">
        <v>1430.3</v>
      </c>
      <c r="D11" s="23" t="n">
        <f aca="false">C11-B11</f>
        <v>39.3999999999999</v>
      </c>
      <c r="E11" s="24" t="n">
        <f aca="false">D11*1000</f>
        <v>39399.9999999999</v>
      </c>
      <c r="F11" s="24" t="n">
        <f aca="false">'Resumen Ejecutivo CMM'!E26</f>
        <v>21900</v>
      </c>
      <c r="G11" s="23" t="n">
        <f aca="false">E11/F11</f>
        <v>1.79908675799086</v>
      </c>
      <c r="H11" s="22" t="s">
        <v>489</v>
      </c>
    </row>
    <row r="12" customFormat="false" ht="15" hidden="false" customHeight="false" outlineLevel="0" collapsed="false">
      <c r="A12" s="22" t="s">
        <v>84</v>
      </c>
      <c r="B12" s="23" t="n">
        <v>1430.3</v>
      </c>
      <c r="C12" s="23" t="n">
        <v>1470.2</v>
      </c>
      <c r="D12" s="23" t="n">
        <f aca="false">C12-B12</f>
        <v>39.9000000000001</v>
      </c>
      <c r="E12" s="24" t="n">
        <f aca="false">D12*1000</f>
        <v>39900.0000000001</v>
      </c>
      <c r="F12" s="24" t="n">
        <f aca="false">'Resumen Ejecutivo CMM'!E27</f>
        <v>22165</v>
      </c>
      <c r="G12" s="23" t="n">
        <f aca="false">E12/F12</f>
        <v>1.80013534852245</v>
      </c>
      <c r="H12" s="22" t="s">
        <v>489</v>
      </c>
    </row>
    <row r="13" customFormat="false" ht="15" hidden="false" customHeight="false" outlineLevel="0" collapsed="false">
      <c r="A13" s="22" t="s">
        <v>85</v>
      </c>
      <c r="B13" s="23" t="n">
        <v>1470.2</v>
      </c>
      <c r="C13" s="23" t="n">
        <v>1508.7</v>
      </c>
      <c r="D13" s="23" t="n">
        <f aca="false">C13-B13</f>
        <v>38.5</v>
      </c>
      <c r="E13" s="24" t="n">
        <f aca="false">D13*1000</f>
        <v>38500</v>
      </c>
      <c r="F13" s="24" t="n">
        <f aca="false">'Resumen Ejecutivo CMM'!E28</f>
        <v>21390</v>
      </c>
      <c r="G13" s="23" t="n">
        <f aca="false">E13/F13</f>
        <v>1.79990649836372</v>
      </c>
      <c r="H13" s="22" t="s">
        <v>489</v>
      </c>
    </row>
    <row r="14" customFormat="false" ht="15" hidden="false" customHeight="false" outlineLevel="0" collapsed="false">
      <c r="A14" s="22" t="s">
        <v>86</v>
      </c>
      <c r="B14" s="23" t="n">
        <v>1508.7</v>
      </c>
      <c r="C14" s="23" t="n">
        <v>1546.5</v>
      </c>
      <c r="D14" s="23" t="n">
        <f aca="false">C14-B14</f>
        <v>37.8</v>
      </c>
      <c r="E14" s="24" t="n">
        <f aca="false">D14*1000</f>
        <v>37800</v>
      </c>
      <c r="F14" s="24" t="n">
        <f aca="false">'Resumen Ejecutivo CMM'!E29</f>
        <v>21000</v>
      </c>
      <c r="G14" s="23" t="n">
        <f aca="false">E14/F14</f>
        <v>1.8</v>
      </c>
      <c r="H14" s="22" t="s">
        <v>489</v>
      </c>
    </row>
    <row r="15" customFormat="false" ht="15" hidden="false" customHeight="false" outlineLevel="0" collapsed="false">
      <c r="A15" s="22" t="s">
        <v>87</v>
      </c>
      <c r="B15" s="23" t="n">
        <v>1546.5</v>
      </c>
      <c r="C15" s="23" t="n">
        <v>1586.6</v>
      </c>
      <c r="D15" s="23" t="n">
        <f aca="false">C15-B15</f>
        <v>40.0999999999999</v>
      </c>
      <c r="E15" s="24" t="n">
        <f aca="false">D15*1000</f>
        <v>40099.9999999999</v>
      </c>
      <c r="F15" s="24" t="n">
        <f aca="false">'Resumen Ejecutivo CMM'!E30</f>
        <v>22320</v>
      </c>
      <c r="G15" s="23" t="n">
        <f aca="false">E15/F15</f>
        <v>1.79659498207885</v>
      </c>
      <c r="H15" s="22" t="s">
        <v>489</v>
      </c>
    </row>
    <row r="16" customFormat="false" ht="15" hidden="false" customHeight="false" outlineLevel="0" collapsed="false">
      <c r="A16" s="22" t="s">
        <v>88</v>
      </c>
      <c r="B16" s="23" t="n">
        <v>1586.6</v>
      </c>
      <c r="C16" s="23" t="n">
        <v>1625.2</v>
      </c>
      <c r="D16" s="23" t="n">
        <f aca="false">C16-B16</f>
        <v>38.6000000000001</v>
      </c>
      <c r="E16" s="24" t="n">
        <f aca="false">D16*1000</f>
        <v>38600.0000000001</v>
      </c>
      <c r="F16" s="24" t="n">
        <f aca="false">'Resumen Ejecutivo CMM'!E31</f>
        <v>21450</v>
      </c>
      <c r="G16" s="23" t="n">
        <f aca="false">E16/F16</f>
        <v>1.79953379953381</v>
      </c>
      <c r="H16" s="22" t="s">
        <v>489</v>
      </c>
    </row>
    <row r="17" customFormat="false" ht="15" hidden="false" customHeight="false" outlineLevel="0" collapsed="false">
      <c r="A17" s="22" t="s">
        <v>89</v>
      </c>
      <c r="B17" s="23" t="n">
        <v>1625.2</v>
      </c>
      <c r="C17" s="23" t="n">
        <v>1664.8</v>
      </c>
      <c r="D17" s="23" t="n">
        <f aca="false">C17-B17</f>
        <v>39.5999999999999</v>
      </c>
      <c r="E17" s="24" t="n">
        <f aca="false">D17*1000</f>
        <v>39599.9999999999</v>
      </c>
      <c r="F17" s="24" t="n">
        <f aca="false">'Resumen Ejecutivo CMM'!E32</f>
        <v>22010</v>
      </c>
      <c r="G17" s="23" t="n">
        <f aca="false">E17/F17</f>
        <v>1.79918218991367</v>
      </c>
      <c r="H17" s="22" t="s">
        <v>489</v>
      </c>
    </row>
    <row r="18" customFormat="false" ht="15" hidden="false" customHeight="false" outlineLevel="0" collapsed="false">
      <c r="A18" s="26" t="s">
        <v>90</v>
      </c>
      <c r="B18" s="28" t="n">
        <v>1200</v>
      </c>
      <c r="C18" s="28" t="n">
        <v>1664.8</v>
      </c>
      <c r="D18" s="28" t="n">
        <f aca="false">SUM(D6:D17)</f>
        <v>464.8</v>
      </c>
      <c r="E18" s="29" t="n">
        <f aca="false">SUM(E6:E17)</f>
        <v>464800</v>
      </c>
      <c r="F18" s="29" t="n">
        <f aca="false">SUM(F6:F17)</f>
        <v>258410</v>
      </c>
      <c r="G18" s="28" t="n">
        <f aca="false">E18/F18</f>
        <v>1.79869200108355</v>
      </c>
      <c r="H18" s="26" t="s">
        <v>490</v>
      </c>
    </row>
  </sheetData>
  <mergeCells count="1"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87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25"/>
    <col collapsed="false" customWidth="true" hidden="false" outlineLevel="0" max="7" min="7" style="0" width="26"/>
  </cols>
  <sheetData>
    <row r="1" customFormat="false" ht="21" hidden="false" customHeight="true" outlineLevel="0" collapsed="false">
      <c r="A1" s="1" t="s">
        <v>491</v>
      </c>
    </row>
    <row r="2" customFormat="false" ht="15" hidden="false" customHeight="false" outlineLevel="0" collapsed="false">
      <c r="A2" s="2" t="s">
        <v>492</v>
      </c>
    </row>
    <row r="4" customFormat="false" ht="15" hidden="false" customHeight="false" outlineLevel="0" collapsed="false">
      <c r="A4" s="16" t="s">
        <v>493</v>
      </c>
      <c r="B4" s="16"/>
      <c r="C4" s="16"/>
      <c r="D4" s="16"/>
      <c r="E4" s="16"/>
      <c r="F4" s="16"/>
      <c r="G4" s="16"/>
    </row>
    <row r="5" customFormat="false" ht="15" hidden="false" customHeight="false" outlineLevel="0" collapsed="false">
      <c r="A5" s="4" t="s">
        <v>494</v>
      </c>
      <c r="B5" s="4" t="s">
        <v>495</v>
      </c>
      <c r="C5" s="4" t="s">
        <v>496</v>
      </c>
      <c r="D5" s="4" t="s">
        <v>497</v>
      </c>
      <c r="E5" s="4" t="s">
        <v>498</v>
      </c>
      <c r="F5" s="4" t="s">
        <v>499</v>
      </c>
      <c r="G5" s="4" t="s">
        <v>500</v>
      </c>
    </row>
    <row r="6" customFormat="false" ht="15" hidden="false" customHeight="false" outlineLevel="0" collapsed="false">
      <c r="A6" s="7" t="s">
        <v>501</v>
      </c>
      <c r="B6" s="23" t="n">
        <v>1</v>
      </c>
      <c r="C6" s="22" t="s">
        <v>502</v>
      </c>
      <c r="D6" s="24" t="n">
        <v>2</v>
      </c>
      <c r="E6" s="24" t="n">
        <v>28</v>
      </c>
      <c r="F6" s="23" t="n">
        <v>4.5</v>
      </c>
      <c r="G6" s="24" t="n">
        <f aca="false">B6*10000*F6/D6</f>
        <v>22500</v>
      </c>
    </row>
    <row r="7" customFormat="false" ht="15" hidden="false" customHeight="false" outlineLevel="0" collapsed="false">
      <c r="A7" s="7" t="s">
        <v>503</v>
      </c>
      <c r="B7" s="23" t="n">
        <v>1</v>
      </c>
      <c r="C7" s="22" t="s">
        <v>504</v>
      </c>
      <c r="D7" s="24" t="n">
        <v>2</v>
      </c>
      <c r="E7" s="24" t="n">
        <v>28</v>
      </c>
      <c r="F7" s="23" t="n">
        <v>4.5</v>
      </c>
      <c r="G7" s="24" t="n">
        <f aca="false">B7*10000*F7/D7</f>
        <v>22500</v>
      </c>
    </row>
    <row r="8" customFormat="false" ht="15" hidden="false" customHeight="false" outlineLevel="0" collapsed="false">
      <c r="A8" s="7" t="s">
        <v>505</v>
      </c>
      <c r="B8" s="23" t="n">
        <v>1</v>
      </c>
      <c r="C8" s="22" t="s">
        <v>502</v>
      </c>
      <c r="D8" s="24" t="n">
        <v>2</v>
      </c>
      <c r="E8" s="24" t="n">
        <v>28</v>
      </c>
      <c r="F8" s="23" t="n">
        <v>4.5</v>
      </c>
      <c r="G8" s="24" t="n">
        <f aca="false">B8*10000*F8/D8</f>
        <v>22500</v>
      </c>
    </row>
    <row r="9" customFormat="false" ht="15" hidden="false" customHeight="false" outlineLevel="0" collapsed="false">
      <c r="A9" s="7" t="s">
        <v>506</v>
      </c>
      <c r="B9" s="23" t="n">
        <v>1</v>
      </c>
      <c r="C9" s="22" t="s">
        <v>504</v>
      </c>
      <c r="D9" s="24" t="n">
        <v>2</v>
      </c>
      <c r="E9" s="24" t="n">
        <v>28</v>
      </c>
      <c r="F9" s="23" t="n">
        <v>4.5</v>
      </c>
      <c r="G9" s="24" t="n">
        <f aca="false">B9*10000*F9/D9</f>
        <v>22500</v>
      </c>
    </row>
    <row r="10" customFormat="false" ht="15" hidden="false" customHeight="false" outlineLevel="0" collapsed="false">
      <c r="A10" s="7" t="s">
        <v>507</v>
      </c>
      <c r="B10" s="23" t="n">
        <v>1</v>
      </c>
      <c r="C10" s="22" t="s">
        <v>502</v>
      </c>
      <c r="D10" s="24" t="n">
        <v>2</v>
      </c>
      <c r="E10" s="24" t="n">
        <v>28</v>
      </c>
      <c r="F10" s="23" t="n">
        <v>4.5</v>
      </c>
      <c r="G10" s="24" t="n">
        <f aca="false">B10*10000*F10/D10</f>
        <v>22500</v>
      </c>
    </row>
    <row r="11" customFormat="false" ht="15" hidden="false" customHeight="false" outlineLevel="0" collapsed="false">
      <c r="A11" s="7" t="s">
        <v>508</v>
      </c>
      <c r="B11" s="23" t="n">
        <v>1</v>
      </c>
      <c r="C11" s="22" t="s">
        <v>504</v>
      </c>
      <c r="D11" s="24" t="n">
        <v>2</v>
      </c>
      <c r="E11" s="24" t="n">
        <v>28</v>
      </c>
      <c r="F11" s="23" t="n">
        <v>4.5</v>
      </c>
      <c r="G11" s="24" t="n">
        <f aca="false">B11*10000*F11/D11</f>
        <v>22500</v>
      </c>
    </row>
    <row r="12" customFormat="false" ht="15" hidden="false" customHeight="false" outlineLevel="0" collapsed="false">
      <c r="A12" s="7" t="s">
        <v>509</v>
      </c>
      <c r="B12" s="23" t="n">
        <v>1</v>
      </c>
      <c r="C12" s="22" t="s">
        <v>502</v>
      </c>
      <c r="D12" s="24" t="n">
        <v>2</v>
      </c>
      <c r="E12" s="24" t="n">
        <v>28</v>
      </c>
      <c r="F12" s="23" t="n">
        <v>4.5</v>
      </c>
      <c r="G12" s="24" t="n">
        <f aca="false">B12*10000*F12/D12</f>
        <v>22500</v>
      </c>
    </row>
    <row r="13" customFormat="false" ht="15" hidden="false" customHeight="false" outlineLevel="0" collapsed="false">
      <c r="A13" s="7" t="s">
        <v>510</v>
      </c>
      <c r="B13" s="23" t="n">
        <v>1</v>
      </c>
      <c r="C13" s="22" t="s">
        <v>504</v>
      </c>
      <c r="D13" s="24" t="n">
        <v>2</v>
      </c>
      <c r="E13" s="24" t="n">
        <v>28</v>
      </c>
      <c r="F13" s="23" t="n">
        <v>4.5</v>
      </c>
      <c r="G13" s="24" t="n">
        <f aca="false">B13*10000*F13/D13</f>
        <v>22500</v>
      </c>
    </row>
    <row r="14" customFormat="false" ht="15" hidden="false" customHeight="false" outlineLevel="0" collapsed="false">
      <c r="A14" s="7" t="s">
        <v>511</v>
      </c>
      <c r="B14" s="23" t="n">
        <v>1</v>
      </c>
      <c r="C14" s="22" t="s">
        <v>502</v>
      </c>
      <c r="D14" s="24" t="n">
        <v>2</v>
      </c>
      <c r="E14" s="24" t="n">
        <v>28</v>
      </c>
      <c r="F14" s="23" t="n">
        <v>4.5</v>
      </c>
      <c r="G14" s="24" t="n">
        <f aca="false">B14*10000*F14/D14</f>
        <v>22500</v>
      </c>
    </row>
    <row r="15" customFormat="false" ht="15" hidden="false" customHeight="false" outlineLevel="0" collapsed="false">
      <c r="A15" s="7" t="s">
        <v>512</v>
      </c>
      <c r="B15" s="23" t="n">
        <v>1</v>
      </c>
      <c r="C15" s="22" t="s">
        <v>504</v>
      </c>
      <c r="D15" s="24" t="n">
        <v>2</v>
      </c>
      <c r="E15" s="24" t="n">
        <v>28</v>
      </c>
      <c r="F15" s="23" t="n">
        <v>4.5</v>
      </c>
      <c r="G15" s="24" t="n">
        <f aca="false">B15*10000*F15/D15</f>
        <v>22500</v>
      </c>
    </row>
    <row r="16" customFormat="false" ht="15" hidden="false" customHeight="false" outlineLevel="0" collapsed="false">
      <c r="A16" s="7" t="s">
        <v>513</v>
      </c>
      <c r="B16" s="23" t="n">
        <v>1</v>
      </c>
      <c r="C16" s="22" t="s">
        <v>502</v>
      </c>
      <c r="D16" s="24" t="n">
        <v>2</v>
      </c>
      <c r="E16" s="24" t="n">
        <v>28</v>
      </c>
      <c r="F16" s="23" t="n">
        <v>4.5</v>
      </c>
      <c r="G16" s="24" t="n">
        <f aca="false">B16*10000*F16/D16</f>
        <v>22500</v>
      </c>
    </row>
    <row r="17" customFormat="false" ht="15" hidden="false" customHeight="false" outlineLevel="0" collapsed="false">
      <c r="A17" s="7" t="s">
        <v>514</v>
      </c>
      <c r="B17" s="23" t="n">
        <v>1</v>
      </c>
      <c r="C17" s="22" t="s">
        <v>504</v>
      </c>
      <c r="D17" s="24" t="n">
        <v>2</v>
      </c>
      <c r="E17" s="24" t="n">
        <v>28</v>
      </c>
      <c r="F17" s="23" t="n">
        <v>4.5</v>
      </c>
      <c r="G17" s="24" t="n">
        <f aca="false">B17*10000*F17/D17</f>
        <v>22500</v>
      </c>
    </row>
    <row r="18" customFormat="false" ht="15" hidden="false" customHeight="false" outlineLevel="0" collapsed="false">
      <c r="A18" s="7" t="s">
        <v>515</v>
      </c>
      <c r="B18" s="23" t="n">
        <v>1</v>
      </c>
      <c r="C18" s="22" t="s">
        <v>502</v>
      </c>
      <c r="D18" s="24" t="n">
        <v>2</v>
      </c>
      <c r="E18" s="24" t="n">
        <v>28</v>
      </c>
      <c r="F18" s="23" t="n">
        <v>4.5</v>
      </c>
      <c r="G18" s="24" t="n">
        <f aca="false">B18*10000*F18/D18</f>
        <v>22500</v>
      </c>
    </row>
    <row r="19" customFormat="false" ht="15" hidden="false" customHeight="false" outlineLevel="0" collapsed="false">
      <c r="A19" s="7" t="s">
        <v>516</v>
      </c>
      <c r="B19" s="23" t="n">
        <v>1</v>
      </c>
      <c r="C19" s="22" t="s">
        <v>504</v>
      </c>
      <c r="D19" s="24" t="n">
        <v>2</v>
      </c>
      <c r="E19" s="24" t="n">
        <v>28</v>
      </c>
      <c r="F19" s="23" t="n">
        <v>4.5</v>
      </c>
      <c r="G19" s="24" t="n">
        <f aca="false">B19*10000*F19/D19</f>
        <v>22500</v>
      </c>
    </row>
    <row r="20" customFormat="false" ht="15" hidden="false" customHeight="false" outlineLevel="0" collapsed="false">
      <c r="A20" s="7" t="s">
        <v>517</v>
      </c>
      <c r="B20" s="23" t="n">
        <v>1</v>
      </c>
      <c r="C20" s="22" t="s">
        <v>502</v>
      </c>
      <c r="D20" s="24" t="n">
        <v>2</v>
      </c>
      <c r="E20" s="24" t="n">
        <v>28</v>
      </c>
      <c r="F20" s="23" t="n">
        <v>4.5</v>
      </c>
      <c r="G20" s="24" t="n">
        <f aca="false">B20*10000*F20/D20</f>
        <v>22500</v>
      </c>
    </row>
  </sheetData>
  <mergeCells count="1"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93"/>
    <col collapsed="false" customWidth="true" hidden="false" outlineLevel="0" max="14" min="2" style="0" width="15"/>
  </cols>
  <sheetData>
    <row r="1" customFormat="false" ht="21" hidden="false" customHeight="true" outlineLevel="0" collapsed="false">
      <c r="A1" s="1" t="s">
        <v>518</v>
      </c>
    </row>
    <row r="2" customFormat="false" ht="15" hidden="false" customHeight="false" outlineLevel="0" collapsed="false">
      <c r="A2" s="2" t="s">
        <v>519</v>
      </c>
    </row>
    <row r="4" customFormat="false" ht="15" hidden="false" customHeight="false" outlineLevel="0" collapsed="false">
      <c r="A4" s="4" t="s">
        <v>520</v>
      </c>
      <c r="B4" s="4" t="s">
        <v>347</v>
      </c>
      <c r="C4" s="4" t="s">
        <v>348</v>
      </c>
      <c r="D4" s="4" t="s">
        <v>349</v>
      </c>
      <c r="E4" s="4" t="s">
        <v>350</v>
      </c>
      <c r="F4" s="4" t="s">
        <v>351</v>
      </c>
      <c r="G4" s="4" t="s">
        <v>352</v>
      </c>
      <c r="H4" s="4" t="s">
        <v>353</v>
      </c>
      <c r="I4" s="4" t="s">
        <v>354</v>
      </c>
      <c r="J4" s="4" t="s">
        <v>355</v>
      </c>
      <c r="K4" s="4" t="s">
        <v>356</v>
      </c>
      <c r="L4" s="4" t="s">
        <v>357</v>
      </c>
      <c r="M4" s="4" t="s">
        <v>358</v>
      </c>
      <c r="N4" s="4" t="s">
        <v>521</v>
      </c>
    </row>
    <row r="5" customFormat="false" ht="15" hidden="false" customHeight="false" outlineLevel="0" collapsed="false">
      <c r="A5" s="16" t="s">
        <v>522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customFormat="false" ht="15" hidden="false" customHeight="false" outlineLevel="0" collapsed="false">
      <c r="A6" s="56" t="s">
        <v>523</v>
      </c>
      <c r="B6" s="57" t="n">
        <f aca="false">'Resumen Ejecutivo CMM'!F21</f>
        <v>49522500</v>
      </c>
      <c r="C6" s="57" t="n">
        <f aca="false">'Resumen Ejecutivo CMM'!F22</f>
        <v>43785000</v>
      </c>
      <c r="D6" s="57" t="n">
        <f aca="false">'Resumen Ejecutivo CMM'!F23</f>
        <v>47430000</v>
      </c>
      <c r="E6" s="57" t="n">
        <f aca="false">'Resumen Ejecutivo CMM'!F24</f>
        <v>47587500</v>
      </c>
      <c r="F6" s="57" t="n">
        <f aca="false">'Resumen Ejecutivo CMM'!F25</f>
        <v>50568750</v>
      </c>
      <c r="G6" s="57" t="n">
        <f aca="false">'Resumen Ejecutivo CMM'!F26</f>
        <v>49275000</v>
      </c>
      <c r="H6" s="57" t="n">
        <f aca="false">'Resumen Ejecutivo CMM'!F27</f>
        <v>49871250</v>
      </c>
      <c r="I6" s="57" t="n">
        <f aca="false">'Resumen Ejecutivo CMM'!F28</f>
        <v>48127500</v>
      </c>
      <c r="J6" s="57" t="n">
        <f aca="false">'Resumen Ejecutivo CMM'!F29</f>
        <v>47250000</v>
      </c>
      <c r="K6" s="57" t="n">
        <f aca="false">'Resumen Ejecutivo CMM'!F30</f>
        <v>50220000</v>
      </c>
      <c r="L6" s="57" t="n">
        <f aca="false">'Resumen Ejecutivo CMM'!F31</f>
        <v>48262500</v>
      </c>
      <c r="M6" s="57" t="n">
        <f aca="false">'Resumen Ejecutivo CMM'!F32</f>
        <v>49522500</v>
      </c>
      <c r="N6" s="58" t="n">
        <f aca="false">'Resumen Ejecutivo CMM'!F33</f>
        <v>581422500</v>
      </c>
    </row>
    <row r="7" customFormat="false" ht="15" hidden="false" customHeight="false" outlineLevel="0" collapsed="false">
      <c r="A7" s="56" t="s">
        <v>524</v>
      </c>
      <c r="B7" s="57" t="n">
        <v>1200000</v>
      </c>
      <c r="C7" s="57" t="n">
        <v>0</v>
      </c>
      <c r="D7" s="57" t="n">
        <v>1500000</v>
      </c>
      <c r="E7" s="57" t="n">
        <v>0</v>
      </c>
      <c r="F7" s="57" t="n">
        <v>1200000</v>
      </c>
      <c r="G7" s="57" t="n">
        <v>3500000</v>
      </c>
      <c r="H7" s="57" t="n">
        <v>0</v>
      </c>
      <c r="I7" s="57" t="n">
        <v>1200000</v>
      </c>
      <c r="J7" s="57" t="n">
        <v>0</v>
      </c>
      <c r="K7" s="57" t="n">
        <v>1500000</v>
      </c>
      <c r="L7" s="57" t="n">
        <v>0</v>
      </c>
      <c r="M7" s="57" t="n">
        <v>3500000</v>
      </c>
      <c r="N7" s="58" t="n">
        <f aca="false">SUM(B7:M7)</f>
        <v>13600000</v>
      </c>
    </row>
    <row r="8" customFormat="false" ht="15" hidden="false" customHeight="false" outlineLevel="0" collapsed="false">
      <c r="A8" s="59" t="s">
        <v>525</v>
      </c>
      <c r="B8" s="60" t="n">
        <f aca="false">SUM(B6:B7)</f>
        <v>50722500</v>
      </c>
      <c r="C8" s="60" t="n">
        <f aca="false">SUM(C6:C7)</f>
        <v>43785000</v>
      </c>
      <c r="D8" s="60" t="n">
        <f aca="false">SUM(D6:D7)</f>
        <v>48930000</v>
      </c>
      <c r="E8" s="60" t="n">
        <f aca="false">SUM(E6:E7)</f>
        <v>47587500</v>
      </c>
      <c r="F8" s="60" t="n">
        <f aca="false">SUM(F6:F7)</f>
        <v>51768750</v>
      </c>
      <c r="G8" s="60" t="n">
        <f aca="false">SUM(G6:G7)</f>
        <v>52775000</v>
      </c>
      <c r="H8" s="60" t="n">
        <f aca="false">SUM(H6:H7)</f>
        <v>49871250</v>
      </c>
      <c r="I8" s="60" t="n">
        <f aca="false">SUM(I6:I7)</f>
        <v>49327500</v>
      </c>
      <c r="J8" s="60" t="n">
        <f aca="false">SUM(J6:J7)</f>
        <v>47250000</v>
      </c>
      <c r="K8" s="60" t="n">
        <f aca="false">SUM(K6:K7)</f>
        <v>51720000</v>
      </c>
      <c r="L8" s="60" t="n">
        <f aca="false">SUM(L6:L7)</f>
        <v>48262500</v>
      </c>
      <c r="M8" s="60" t="n">
        <f aca="false">SUM(M6:M7)</f>
        <v>53022500</v>
      </c>
      <c r="N8" s="61" t="n">
        <f aca="false">SUM(N6:N7)</f>
        <v>595022500</v>
      </c>
    </row>
    <row r="9" customFormat="false" ht="15" hidden="false" customHeight="false" outlineLevel="0" collapsed="false">
      <c r="A9" s="16" t="s">
        <v>526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 customFormat="false" ht="15" hidden="false" customHeight="false" outlineLevel="0" collapsed="false">
      <c r="A10" s="56" t="s">
        <v>527</v>
      </c>
      <c r="B10" s="57" t="n">
        <v>10800000</v>
      </c>
      <c r="C10" s="57" t="n">
        <v>10200000</v>
      </c>
      <c r="D10" s="57" t="n">
        <v>10600000</v>
      </c>
      <c r="E10" s="57" t="n">
        <v>10700000</v>
      </c>
      <c r="F10" s="57" t="n">
        <v>11000000</v>
      </c>
      <c r="G10" s="57" t="n">
        <v>10900000</v>
      </c>
      <c r="H10" s="57" t="n">
        <v>10950000</v>
      </c>
      <c r="I10" s="57" t="n">
        <v>10750000</v>
      </c>
      <c r="J10" s="57" t="n">
        <v>10650000</v>
      </c>
      <c r="K10" s="57" t="n">
        <v>10950000</v>
      </c>
      <c r="L10" s="57" t="n">
        <v>10800000</v>
      </c>
      <c r="M10" s="57" t="n">
        <v>11000000</v>
      </c>
      <c r="N10" s="58" t="n">
        <f aca="false">SUM(B10:M10)</f>
        <v>129300000</v>
      </c>
    </row>
    <row r="11" customFormat="false" ht="15" hidden="false" customHeight="false" outlineLevel="0" collapsed="false">
      <c r="A11" s="56" t="s">
        <v>528</v>
      </c>
      <c r="B11" s="57" t="n">
        <v>850000</v>
      </c>
      <c r="C11" s="57" t="n">
        <v>850000</v>
      </c>
      <c r="D11" s="57" t="n">
        <v>850000</v>
      </c>
      <c r="E11" s="57" t="n">
        <v>850000</v>
      </c>
      <c r="F11" s="57" t="n">
        <v>900000</v>
      </c>
      <c r="G11" s="57" t="n">
        <v>900000</v>
      </c>
      <c r="H11" s="57" t="n">
        <v>900000</v>
      </c>
      <c r="I11" s="57" t="n">
        <v>850000</v>
      </c>
      <c r="J11" s="57" t="n">
        <v>850000</v>
      </c>
      <c r="K11" s="57" t="n">
        <v>900000</v>
      </c>
      <c r="L11" s="57" t="n">
        <v>850000</v>
      </c>
      <c r="M11" s="57" t="n">
        <v>900000</v>
      </c>
      <c r="N11" s="58" t="n">
        <f aca="false">SUM(B11:M11)</f>
        <v>10450000</v>
      </c>
    </row>
    <row r="12" customFormat="false" ht="15" hidden="false" customHeight="false" outlineLevel="0" collapsed="false">
      <c r="A12" s="56" t="s">
        <v>529</v>
      </c>
      <c r="B12" s="57" t="n">
        <v>3200000</v>
      </c>
      <c r="C12" s="57" t="n">
        <v>3200000</v>
      </c>
      <c r="D12" s="57" t="n">
        <v>3200000</v>
      </c>
      <c r="E12" s="57" t="n">
        <v>3200000</v>
      </c>
      <c r="F12" s="57" t="n">
        <v>3200000</v>
      </c>
      <c r="G12" s="57" t="n">
        <v>3200000</v>
      </c>
      <c r="H12" s="57" t="n">
        <v>3200000</v>
      </c>
      <c r="I12" s="57" t="n">
        <v>3200000</v>
      </c>
      <c r="J12" s="57" t="n">
        <v>3200000</v>
      </c>
      <c r="K12" s="57" t="n">
        <v>3200000</v>
      </c>
      <c r="L12" s="57" t="n">
        <v>3200000</v>
      </c>
      <c r="M12" s="57" t="n">
        <v>3200000</v>
      </c>
      <c r="N12" s="58" t="n">
        <f aca="false">SUM(B12:M12)</f>
        <v>38400000</v>
      </c>
    </row>
    <row r="13" customFormat="false" ht="15" hidden="false" customHeight="false" outlineLevel="0" collapsed="false">
      <c r="A13" s="56" t="s">
        <v>530</v>
      </c>
      <c r="B13" s="57" t="n">
        <v>1350000</v>
      </c>
      <c r="C13" s="57" t="n">
        <v>1280000</v>
      </c>
      <c r="D13" s="57" t="n">
        <v>1320000</v>
      </c>
      <c r="E13" s="57" t="n">
        <v>1340000</v>
      </c>
      <c r="F13" s="57" t="n">
        <v>1380000</v>
      </c>
      <c r="G13" s="57" t="n">
        <v>1360000</v>
      </c>
      <c r="H13" s="57" t="n">
        <v>1370000</v>
      </c>
      <c r="I13" s="57" t="n">
        <v>1340000</v>
      </c>
      <c r="J13" s="57" t="n">
        <v>1330000</v>
      </c>
      <c r="K13" s="57" t="n">
        <v>1370000</v>
      </c>
      <c r="L13" s="57" t="n">
        <v>1350000</v>
      </c>
      <c r="M13" s="57" t="n">
        <v>1380000</v>
      </c>
      <c r="N13" s="58" t="n">
        <f aca="false">SUM(B13:M13)</f>
        <v>16170000</v>
      </c>
    </row>
    <row r="14" customFormat="false" ht="15" hidden="false" customHeight="false" outlineLevel="0" collapsed="false">
      <c r="A14" s="56" t="s">
        <v>531</v>
      </c>
      <c r="B14" s="57" t="n">
        <v>800000</v>
      </c>
      <c r="C14" s="57" t="n">
        <v>600000</v>
      </c>
      <c r="D14" s="57" t="n">
        <v>850000</v>
      </c>
      <c r="E14" s="57" t="n">
        <v>650000</v>
      </c>
      <c r="F14" s="57" t="n">
        <v>950000</v>
      </c>
      <c r="G14" s="57" t="n">
        <v>700000</v>
      </c>
      <c r="H14" s="57" t="n">
        <v>800000</v>
      </c>
      <c r="I14" s="57" t="n">
        <v>650000</v>
      </c>
      <c r="J14" s="57" t="n">
        <v>600000</v>
      </c>
      <c r="K14" s="57" t="n">
        <v>850000</v>
      </c>
      <c r="L14" s="57" t="n">
        <v>750000</v>
      </c>
      <c r="M14" s="57" t="n">
        <v>900000</v>
      </c>
      <c r="N14" s="58" t="n">
        <f aca="false">SUM(B14:M14)</f>
        <v>9100000</v>
      </c>
    </row>
    <row r="15" customFormat="false" ht="15" hidden="false" customHeight="false" outlineLevel="0" collapsed="false">
      <c r="A15" s="56" t="s">
        <v>532</v>
      </c>
      <c r="B15" s="57" t="n">
        <v>550000</v>
      </c>
      <c r="C15" s="57" t="n">
        <v>520000</v>
      </c>
      <c r="D15" s="57" t="n">
        <v>540000</v>
      </c>
      <c r="E15" s="57" t="n">
        <v>530000</v>
      </c>
      <c r="F15" s="57" t="n">
        <v>560000</v>
      </c>
      <c r="G15" s="57" t="n">
        <v>550000</v>
      </c>
      <c r="H15" s="57" t="n">
        <v>550000</v>
      </c>
      <c r="I15" s="57" t="n">
        <v>530000</v>
      </c>
      <c r="J15" s="57" t="n">
        <v>530000</v>
      </c>
      <c r="K15" s="57" t="n">
        <v>560000</v>
      </c>
      <c r="L15" s="57" t="n">
        <v>540000</v>
      </c>
      <c r="M15" s="57" t="n">
        <v>570000</v>
      </c>
      <c r="N15" s="58" t="n">
        <f aca="false">SUM(B15:M15)</f>
        <v>6530000</v>
      </c>
    </row>
    <row r="16" customFormat="false" ht="15" hidden="false" customHeight="false" outlineLevel="0" collapsed="false">
      <c r="A16" s="56" t="s">
        <v>533</v>
      </c>
      <c r="B16" s="57" t="n">
        <v>1200000</v>
      </c>
      <c r="C16" s="57" t="n">
        <v>1000000</v>
      </c>
      <c r="D16" s="57" t="n">
        <v>1100000</v>
      </c>
      <c r="E16" s="57" t="n">
        <v>1400000</v>
      </c>
      <c r="F16" s="57" t="n">
        <v>1200000</v>
      </c>
      <c r="G16" s="57" t="n">
        <v>1100000</v>
      </c>
      <c r="H16" s="57" t="n">
        <v>1100000</v>
      </c>
      <c r="I16" s="57" t="n">
        <v>1300000</v>
      </c>
      <c r="J16" s="57" t="n">
        <v>1200000</v>
      </c>
      <c r="K16" s="57" t="n">
        <v>1100000</v>
      </c>
      <c r="L16" s="57" t="n">
        <v>1200000</v>
      </c>
      <c r="M16" s="57" t="n">
        <v>1100000</v>
      </c>
      <c r="N16" s="58" t="n">
        <f aca="false">SUM(B16:M16)</f>
        <v>14000000</v>
      </c>
    </row>
    <row r="17" customFormat="false" ht="15" hidden="false" customHeight="false" outlineLevel="0" collapsed="false">
      <c r="A17" s="56" t="s">
        <v>534</v>
      </c>
      <c r="B17" s="57" t="n">
        <v>600000</v>
      </c>
      <c r="C17" s="57" t="n">
        <v>450000</v>
      </c>
      <c r="D17" s="57" t="n">
        <v>540000</v>
      </c>
      <c r="E17" s="57" t="n">
        <v>530000</v>
      </c>
      <c r="F17" s="57" t="n">
        <v>610000</v>
      </c>
      <c r="G17" s="57" t="n">
        <v>500000</v>
      </c>
      <c r="H17" s="57" t="n">
        <v>480000</v>
      </c>
      <c r="I17" s="57" t="n">
        <v>680000</v>
      </c>
      <c r="J17" s="57" t="n">
        <v>390000</v>
      </c>
      <c r="K17" s="57" t="n">
        <v>470000</v>
      </c>
      <c r="L17" s="57" t="n">
        <v>710000</v>
      </c>
      <c r="M17" s="57" t="n">
        <v>400000</v>
      </c>
      <c r="N17" s="58" t="n">
        <f aca="false">SUM(B17:M17)</f>
        <v>6360000</v>
      </c>
    </row>
    <row r="18" customFormat="false" ht="15" hidden="false" customHeight="false" outlineLevel="0" collapsed="false">
      <c r="A18" s="56" t="s">
        <v>535</v>
      </c>
      <c r="B18" s="57" t="n">
        <v>500000</v>
      </c>
      <c r="C18" s="57" t="n">
        <v>500000</v>
      </c>
      <c r="D18" s="57" t="n">
        <v>500000</v>
      </c>
      <c r="E18" s="57" t="n">
        <v>500000</v>
      </c>
      <c r="F18" s="57" t="n">
        <v>500000</v>
      </c>
      <c r="G18" s="57" t="n">
        <v>500000</v>
      </c>
      <c r="H18" s="57" t="n">
        <v>500000</v>
      </c>
      <c r="I18" s="57" t="n">
        <v>500000</v>
      </c>
      <c r="J18" s="57" t="n">
        <v>500000</v>
      </c>
      <c r="K18" s="57" t="n">
        <v>500000</v>
      </c>
      <c r="L18" s="57" t="n">
        <v>500000</v>
      </c>
      <c r="M18" s="57" t="n">
        <v>500000</v>
      </c>
      <c r="N18" s="58" t="n">
        <f aca="false">SUM(B18:M18)</f>
        <v>6000000</v>
      </c>
    </row>
    <row r="19" customFormat="false" ht="15" hidden="false" customHeight="false" outlineLevel="0" collapsed="false">
      <c r="A19" s="59" t="s">
        <v>536</v>
      </c>
      <c r="B19" s="60" t="n">
        <f aca="false">SUM(B10:B18)</f>
        <v>19850000</v>
      </c>
      <c r="C19" s="60" t="n">
        <f aca="false">SUM(C10:C18)</f>
        <v>18600000</v>
      </c>
      <c r="D19" s="60" t="n">
        <f aca="false">SUM(D10:D18)</f>
        <v>19500000</v>
      </c>
      <c r="E19" s="60" t="n">
        <f aca="false">SUM(E10:E18)</f>
        <v>19700000</v>
      </c>
      <c r="F19" s="60" t="n">
        <f aca="false">SUM(F10:F18)</f>
        <v>20300000</v>
      </c>
      <c r="G19" s="60" t="n">
        <f aca="false">SUM(G10:G18)</f>
        <v>19710000</v>
      </c>
      <c r="H19" s="60" t="n">
        <f aca="false">SUM(H10:H18)</f>
        <v>19850000</v>
      </c>
      <c r="I19" s="60" t="n">
        <f aca="false">SUM(I10:I18)</f>
        <v>19800000</v>
      </c>
      <c r="J19" s="60" t="n">
        <f aca="false">SUM(J10:J18)</f>
        <v>19250000</v>
      </c>
      <c r="K19" s="60" t="n">
        <f aca="false">SUM(K10:K18)</f>
        <v>19900000</v>
      </c>
      <c r="L19" s="60" t="n">
        <f aca="false">SUM(L10:L18)</f>
        <v>19900000</v>
      </c>
      <c r="M19" s="60" t="n">
        <f aca="false">SUM(M10:M18)</f>
        <v>19950000</v>
      </c>
      <c r="N19" s="61" t="n">
        <f aca="false">SUM(N10:N18)</f>
        <v>236310000</v>
      </c>
    </row>
    <row r="20" customFormat="false" ht="15" hidden="false" customHeight="false" outlineLevel="0" collapsed="false">
      <c r="A20" s="59" t="s">
        <v>537</v>
      </c>
      <c r="B20" s="14" t="n">
        <f aca="false">B8-B19</f>
        <v>30872500</v>
      </c>
      <c r="C20" s="14" t="n">
        <f aca="false">C8-C19</f>
        <v>25185000</v>
      </c>
      <c r="D20" s="14" t="n">
        <f aca="false">D8-D19</f>
        <v>29430000</v>
      </c>
      <c r="E20" s="14" t="n">
        <f aca="false">E8-E19</f>
        <v>27887500</v>
      </c>
      <c r="F20" s="14" t="n">
        <f aca="false">F8-F19</f>
        <v>31468750</v>
      </c>
      <c r="G20" s="14" t="n">
        <f aca="false">G8-G19</f>
        <v>33065000</v>
      </c>
      <c r="H20" s="14" t="n">
        <f aca="false">H8-H19</f>
        <v>30021250</v>
      </c>
      <c r="I20" s="14" t="n">
        <f aca="false">I8-I19</f>
        <v>29527500</v>
      </c>
      <c r="J20" s="14" t="n">
        <f aca="false">J8-J19</f>
        <v>28000000</v>
      </c>
      <c r="K20" s="14" t="n">
        <f aca="false">K8-K19</f>
        <v>31820000</v>
      </c>
      <c r="L20" s="14" t="n">
        <f aca="false">L8-L19</f>
        <v>28362500</v>
      </c>
      <c r="M20" s="14" t="n">
        <f aca="false">M8-M19</f>
        <v>33072500</v>
      </c>
      <c r="N20" s="62" t="n">
        <f aca="false">N8-N19</f>
        <v>358712500</v>
      </c>
    </row>
    <row r="21" customFormat="false" ht="15" hidden="false" customHeight="false" outlineLevel="0" collapsed="false">
      <c r="A21" s="59" t="s">
        <v>538</v>
      </c>
      <c r="B21" s="14" t="n">
        <f aca="false">B19/'Resumen Ejecutivo CMM'!E21</f>
        <v>901.862789641072</v>
      </c>
      <c r="C21" s="14" t="n">
        <f aca="false">C19/'Resumen Ejecutivo CMM'!E22</f>
        <v>955.806783144913</v>
      </c>
      <c r="D21" s="14" t="n">
        <f aca="false">D19/'Resumen Ejecutivo CMM'!E23</f>
        <v>925.047438330171</v>
      </c>
      <c r="E21" s="14" t="n">
        <f aca="false">E19/'Resumen Ejecutivo CMM'!E24</f>
        <v>931.442080378251</v>
      </c>
      <c r="F21" s="14" t="n">
        <f aca="false">F19/'Resumen Ejecutivo CMM'!E25</f>
        <v>903.225806451613</v>
      </c>
      <c r="G21" s="14" t="n">
        <f aca="false">G19/'Resumen Ejecutivo CMM'!E26</f>
        <v>900</v>
      </c>
      <c r="H21" s="14" t="n">
        <f aca="false">H19/'Resumen Ejecutivo CMM'!E27</f>
        <v>895.556056846379</v>
      </c>
      <c r="I21" s="14" t="n">
        <f aca="false">I19/'Resumen Ejecutivo CMM'!E28</f>
        <v>925.666199158485</v>
      </c>
      <c r="J21" s="14" t="n">
        <f aca="false">J19/'Resumen Ejecutivo CMM'!E29</f>
        <v>916.666666666667</v>
      </c>
      <c r="K21" s="14" t="n">
        <f aca="false">K19/'Resumen Ejecutivo CMM'!E30</f>
        <v>891.5770609319</v>
      </c>
      <c r="L21" s="14" t="n">
        <f aca="false">L19/'Resumen Ejecutivo CMM'!E31</f>
        <v>927.738927738928</v>
      </c>
      <c r="M21" s="14" t="n">
        <f aca="false">M19/'Resumen Ejecutivo CMM'!E32</f>
        <v>906.406179009541</v>
      </c>
      <c r="N21" s="62" t="n">
        <f aca="false">N19/'Resumen Ejecutivo CMM'!E33</f>
        <v>914.476993924384</v>
      </c>
    </row>
  </sheetData>
  <mergeCells count="2">
    <mergeCell ref="A5:N5"/>
    <mergeCell ref="A9:N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2026-10-24T20:51:50Z</dcterms:created>
  <dc:creator>openpyxl</dc:creator>
  <dc:description/>
  <dc:language>en-US</dc:language>
  <cp:lastModifiedBy>Felipe Moreno</cp:lastModifiedBy>
  <dcterms:modified xsi:type="dcterms:W3CDTF">2026-10-24T23:22:44Z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