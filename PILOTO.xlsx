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felip\OneDrive\Documents\MONITORA\HATO 360\"/>
    </mc:Choice>
  </mc:AlternateContent>
  <xr:revisionPtr revIDLastSave="0" documentId="13_ncr:1_{AD09E955-C5D4-414A-B0D7-A31E692B2627}" xr6:coauthVersionLast="47" xr6:coauthVersionMax="47" xr10:uidLastSave="{00000000-0000-0000-0000-000000000000}"/>
  <bookViews>
    <workbookView xWindow="20370" yWindow="-3720" windowWidth="29040" windowHeight="15720" activeTab="1" xr2:uid="{00000000-000D-0000-FFFF-FFFF00000000}"/>
  </bookViews>
  <sheets>
    <sheet name="Resumen Ejecutivo CMM" sheetId="1" r:id="rId1"/>
    <sheet name="Inventario y Trazabilidad" sheetId="2" r:id="rId2"/>
    <sheet name="Control Lechero y Mastitis" sheetId="3" r:id="rId3"/>
    <sheet name="Reproducción y Sanidad" sheetId="4" r:id="rId4"/>
    <sheet name="Saneamiento y Agua" sheetId="5" r:id="rId5"/>
    <sheet name="Pastos y Alimentación" sheetId="6" r:id="rId6"/>
    <sheet name="Control Financiero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7" l="1"/>
  <c r="M21" i="7" s="1"/>
  <c r="L19" i="7"/>
  <c r="L21" i="7" s="1"/>
  <c r="K19" i="7"/>
  <c r="K21" i="7" s="1"/>
  <c r="J19" i="7"/>
  <c r="J21" i="7" s="1"/>
  <c r="I19" i="7"/>
  <c r="I21" i="7" s="1"/>
  <c r="H19" i="7"/>
  <c r="H21" i="7" s="1"/>
  <c r="G19" i="7"/>
  <c r="G21" i="7" s="1"/>
  <c r="F19" i="7"/>
  <c r="F21" i="7" s="1"/>
  <c r="E19" i="7"/>
  <c r="E21" i="7" s="1"/>
  <c r="D19" i="7"/>
  <c r="D21" i="7" s="1"/>
  <c r="C19" i="7"/>
  <c r="C21" i="7" s="1"/>
  <c r="B19" i="7"/>
  <c r="B21" i="7" s="1"/>
  <c r="N18" i="7"/>
  <c r="N17" i="7"/>
  <c r="N16" i="7"/>
  <c r="N15" i="7"/>
  <c r="N14" i="7"/>
  <c r="N13" i="7"/>
  <c r="N12" i="7"/>
  <c r="N11" i="7"/>
  <c r="N10" i="7"/>
  <c r="N19" i="7" s="1"/>
  <c r="N7" i="7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D17" i="5"/>
  <c r="E17" i="5" s="1"/>
  <c r="D16" i="5"/>
  <c r="E16" i="5" s="1"/>
  <c r="D15" i="5"/>
  <c r="E15" i="5" s="1"/>
  <c r="D14" i="5"/>
  <c r="E14" i="5" s="1"/>
  <c r="D13" i="5"/>
  <c r="E13" i="5" s="1"/>
  <c r="D12" i="5"/>
  <c r="E11" i="5"/>
  <c r="D11" i="5"/>
  <c r="D10" i="5"/>
  <c r="E10" i="5" s="1"/>
  <c r="D9" i="5"/>
  <c r="E9" i="5" s="1"/>
  <c r="D8" i="5"/>
  <c r="E8" i="5" s="1"/>
  <c r="D7" i="5"/>
  <c r="E7" i="5" s="1"/>
  <c r="D6" i="5"/>
  <c r="E6" i="5" s="1"/>
  <c r="N31" i="3"/>
  <c r="M31" i="3"/>
  <c r="L31" i="3"/>
  <c r="K31" i="3"/>
  <c r="J31" i="3"/>
  <c r="I31" i="3"/>
  <c r="H31" i="3"/>
  <c r="G31" i="3"/>
  <c r="F31" i="3"/>
  <c r="E31" i="3"/>
  <c r="D31" i="3"/>
  <c r="C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31" i="3" s="1"/>
  <c r="G33" i="1"/>
  <c r="D33" i="1"/>
  <c r="C33" i="1"/>
  <c r="B33" i="1"/>
  <c r="E32" i="1"/>
  <c r="E31" i="1"/>
  <c r="E30" i="1"/>
  <c r="E29" i="1"/>
  <c r="E28" i="1"/>
  <c r="E27" i="1"/>
  <c r="E26" i="1"/>
  <c r="E25" i="1"/>
  <c r="E24" i="1"/>
  <c r="E23" i="1"/>
  <c r="E22" i="1"/>
  <c r="E21" i="1"/>
  <c r="G11" i="1"/>
  <c r="B11" i="1"/>
  <c r="G10" i="1"/>
  <c r="G9" i="1"/>
  <c r="G8" i="1"/>
  <c r="G7" i="1"/>
  <c r="G6" i="1"/>
  <c r="D18" i="5" l="1"/>
  <c r="E12" i="5"/>
  <c r="E18" i="5"/>
  <c r="I32" i="1"/>
  <c r="F17" i="5"/>
  <c r="G17" i="5" s="1"/>
  <c r="F32" i="1"/>
  <c r="F31" i="1"/>
  <c r="F16" i="5"/>
  <c r="G16" i="5" s="1"/>
  <c r="I31" i="1"/>
  <c r="I30" i="1"/>
  <c r="F30" i="1"/>
  <c r="F15" i="5"/>
  <c r="G15" i="5" s="1"/>
  <c r="F14" i="5"/>
  <c r="G14" i="5" s="1"/>
  <c r="I29" i="1"/>
  <c r="F29" i="1"/>
  <c r="I28" i="1"/>
  <c r="F28" i="1"/>
  <c r="F13" i="5"/>
  <c r="G13" i="5" s="1"/>
  <c r="F12" i="5"/>
  <c r="F27" i="1"/>
  <c r="I27" i="1"/>
  <c r="F11" i="5"/>
  <c r="G11" i="5" s="1"/>
  <c r="I26" i="1"/>
  <c r="F26" i="1"/>
  <c r="F10" i="5"/>
  <c r="G10" i="5" s="1"/>
  <c r="F25" i="1"/>
  <c r="I25" i="1"/>
  <c r="F9" i="5"/>
  <c r="G9" i="5" s="1"/>
  <c r="I24" i="1"/>
  <c r="F24" i="1"/>
  <c r="F23" i="1"/>
  <c r="I23" i="1"/>
  <c r="F8" i="5"/>
  <c r="G8" i="5" s="1"/>
  <c r="F22" i="1"/>
  <c r="F7" i="5"/>
  <c r="G7" i="5" s="1"/>
  <c r="I22" i="1"/>
  <c r="F6" i="5"/>
  <c r="E33" i="1"/>
  <c r="F21" i="1"/>
  <c r="I21" i="1"/>
  <c r="M6" i="7" l="1"/>
  <c r="M8" i="7" s="1"/>
  <c r="M20" i="7" s="1"/>
  <c r="H32" i="1"/>
  <c r="H31" i="1"/>
  <c r="L6" i="7"/>
  <c r="L8" i="7" s="1"/>
  <c r="L20" i="7" s="1"/>
  <c r="H30" i="1"/>
  <c r="K6" i="7"/>
  <c r="K8" i="7" s="1"/>
  <c r="K20" i="7" s="1"/>
  <c r="H29" i="1"/>
  <c r="J6" i="7"/>
  <c r="J8" i="7" s="1"/>
  <c r="J20" i="7" s="1"/>
  <c r="I6" i="7"/>
  <c r="I8" i="7" s="1"/>
  <c r="I20" i="7" s="1"/>
  <c r="H28" i="1"/>
  <c r="H27" i="1"/>
  <c r="H6" i="7"/>
  <c r="H8" i="7" s="1"/>
  <c r="H20" i="7" s="1"/>
  <c r="G6" i="7"/>
  <c r="G8" i="7" s="1"/>
  <c r="G20" i="7" s="1"/>
  <c r="H26" i="1"/>
  <c r="H25" i="1"/>
  <c r="F6" i="7"/>
  <c r="F8" i="7" s="1"/>
  <c r="F20" i="7" s="1"/>
  <c r="H24" i="1"/>
  <c r="E6" i="7"/>
  <c r="E8" i="7" s="1"/>
  <c r="E20" i="7" s="1"/>
  <c r="H23" i="1"/>
  <c r="D6" i="7"/>
  <c r="D8" i="7" s="1"/>
  <c r="D20" i="7" s="1"/>
  <c r="C6" i="7"/>
  <c r="C8" i="7" s="1"/>
  <c r="C20" i="7" s="1"/>
  <c r="H22" i="1"/>
  <c r="I33" i="1"/>
  <c r="N21" i="7"/>
  <c r="F33" i="1"/>
  <c r="N6" i="7" s="1"/>
  <c r="N8" i="7" s="1"/>
  <c r="N20" i="7" s="1"/>
  <c r="B6" i="7"/>
  <c r="B8" i="7" s="1"/>
  <c r="B20" i="7" s="1"/>
  <c r="H21" i="1"/>
  <c r="H33" i="1" s="1"/>
  <c r="G12" i="5"/>
  <c r="F18" i="5"/>
  <c r="G18" i="5" s="1"/>
  <c r="G6" i="5"/>
</calcChain>
</file>

<file path=xl/sharedStrings.xml><?xml version="1.0" encoding="utf-8"?>
<sst xmlns="http://schemas.openxmlformats.org/spreadsheetml/2006/main" count="972" uniqueCount="518">
  <si>
    <t>FINCA LA ESPERANZA - MODELO DE GESTIÓN Y CONTROL ANUAL (12 MESES)</t>
  </si>
  <si>
    <t>Cuadro de Mando Integral y KPIs Consolidados Anuales | Finca de 15 ha / 55 Animales</t>
  </si>
  <si>
    <t>1. PARÁMETROS BASE DE LA FINCA</t>
  </si>
  <si>
    <t>2. INDICADORES CLAVE DE DESEMPEÑO (KPIs)</t>
  </si>
  <si>
    <t>Parámetro</t>
  </si>
  <si>
    <t>Valor</t>
  </si>
  <si>
    <t>Unidad</t>
  </si>
  <si>
    <t>Descripción / Meta</t>
  </si>
  <si>
    <t>Indicador KPI</t>
  </si>
  <si>
    <t>Valor Calculado</t>
  </si>
  <si>
    <t>Unidad / Meta</t>
  </si>
  <si>
    <t>Evaluación Técnica</t>
  </si>
  <si>
    <t>Área Total Finca (ha)</t>
  </si>
  <si>
    <t>ha</t>
  </si>
  <si>
    <t>Área para pastoreo y rotación</t>
  </si>
  <si>
    <t>Producción Promedio / Vaca</t>
  </si>
  <si>
    <t>L/vaca/día (&gt;= 25.0 L/día)</t>
  </si>
  <si>
    <t>Excelente rendimiento individual</t>
  </si>
  <si>
    <t>Vacas en Ordeño</t>
  </si>
  <si>
    <t>cabezas</t>
  </si>
  <si>
    <t>Hato en producción activa</t>
  </si>
  <si>
    <t>Carga Animal Total</t>
  </si>
  <si>
    <t>UGM/ha (3.0 - 4.0 UGM/ha)</t>
  </si>
  <si>
    <t>Alta intensidad en 15 ha</t>
  </si>
  <si>
    <t>Vacas Horras / Secas</t>
  </si>
  <si>
    <t>Periodo de descanso preparto</t>
  </si>
  <si>
    <t>Porcentaje Vacas en Ordeño</t>
  </si>
  <si>
    <t>% (&gt;= 80.0%)</t>
  </si>
  <si>
    <t>Eficiencia de lactancia hato</t>
  </si>
  <si>
    <t>Novillas de Levante</t>
  </si>
  <si>
    <t>Reemplazos e inventario joven</t>
  </si>
  <si>
    <t>Tasa de Reemplazo / Novillas</t>
  </si>
  <si>
    <t>% (&gt;= 60.0%)</t>
  </si>
  <si>
    <t>Garantía de autorrenovación</t>
  </si>
  <si>
    <t>Terneros Lactantes</t>
  </si>
  <si>
    <t>Crías en amamantamiento / balde</t>
  </si>
  <si>
    <t>Capacidad Ordeño / Puesto</t>
  </si>
  <si>
    <t>vacas/puesto (8 - 10 vacas)</t>
  </si>
  <si>
    <t>Eficiencia operativa por turno</t>
  </si>
  <si>
    <t>Total Inventario Bovino</t>
  </si>
  <si>
    <t>Carga total en predio</t>
  </si>
  <si>
    <t>Producción Anual Estimada</t>
  </si>
  <si>
    <t>litros/año (~255,000 L)</t>
  </si>
  <si>
    <t>Meta de volumen bruto</t>
  </si>
  <si>
    <t>Producción Promedio Diaria</t>
  </si>
  <si>
    <t>litros/día</t>
  </si>
  <si>
    <t>Base de ordeño diario (2 turnos)</t>
  </si>
  <si>
    <t>Consumo Agua Esp. Ordeño</t>
  </si>
  <si>
    <t>L agua/L leche (&lt; 2.0 L/L)</t>
  </si>
  <si>
    <t>Sostenibilidad hídrica BPG</t>
  </si>
  <si>
    <t>Número de Ordeños al Día</t>
  </si>
  <si>
    <t>ordeños</t>
  </si>
  <si>
    <t>Turnos AM y PM</t>
  </si>
  <si>
    <t>Costo Estimado Producción</t>
  </si>
  <si>
    <t>$/L (&lt; $1,100 / L)</t>
  </si>
  <si>
    <t>Margen operativo proyectado</t>
  </si>
  <si>
    <t>Puestos de Ordeño Mecánico</t>
  </si>
  <si>
    <t>puestos</t>
  </si>
  <si>
    <t>Capacidad instalada</t>
  </si>
  <si>
    <t>Tanque de Enfriamiento</t>
  </si>
  <si>
    <t>tanque</t>
  </si>
  <si>
    <t>Capacidad de almacenamiento en frío</t>
  </si>
  <si>
    <t>Personal Operativo (Empleados)</t>
  </si>
  <si>
    <t>personas</t>
  </si>
  <si>
    <t>Mano de obra directa</t>
  </si>
  <si>
    <t>Precio Base Leche Cruda ($/L)</t>
  </si>
  <si>
    <t>$/L</t>
  </si>
  <si>
    <t>Precio promedio liquidación con bonificaciones</t>
  </si>
  <si>
    <t>3. RESUMEN EJECUTIVO DE PRODUCCIÓN Y FINANZAS MES A MES (AÑO 1)</t>
  </si>
  <si>
    <t>Mes</t>
  </si>
  <si>
    <t>Días</t>
  </si>
  <si>
    <t>Vacas Ordeño</t>
  </si>
  <si>
    <t>Prod. Diaria (L)</t>
  </si>
  <si>
    <t>Total Litros/Mes</t>
  </si>
  <si>
    <t>Ingresos Leche ($)</t>
  </si>
  <si>
    <t>Costos Operación ($)</t>
  </si>
  <si>
    <t>Utilidad Neta ($)</t>
  </si>
  <si>
    <t>Costo / Litro ($)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</si>
  <si>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</si>
  <si>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</si>
  <si>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</si>
  <si>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</si>
  <si>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</si>
  <si>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</si>
  <si>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</si>
  <si>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</si>
  <si>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</si>
  <si>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</si>
  <si>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</si>
  <si>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</si>
  <si>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ANUAL</t>
  </si>
  <si>
    <t>INVENTARIO INDIVIDUAL DE BOVINOS Y REGISTRO DE TRAZABILIDAD (55 ANIMALES)</t>
  </si>
  <si>
    <t>Conforme a la Ley 1659 de Trazabilidad y Normatividad Sanitaria ICA | Finca La Esperanza</t>
  </si>
  <si>
    <t>N° Chapeta / ID</t>
  </si>
  <si>
    <t>Nombre / Registro</t>
  </si>
  <si>
    <t>Raza / Mestizaje</t>
  </si>
  <si>
    <t>Categoría</t>
  </si>
  <si>
    <t>Lote Pastoreo</t>
  </si>
  <si>
    <t>Edad (Meses)</t>
  </si>
  <si>
    <t>Estado Reproductivo</t>
  </si>
  <si>
    <t>N° Partos</t>
  </si>
  <si>
    <t>Días en Leche</t>
  </si>
  <si>
    <t>Padre</t>
  </si>
  <si>
    <t>Madre</t>
  </si>
  <si>
    <t>Observaciones BPG</t>
  </si>
  <si>
    <t>COL-2024-101</t>
  </si>
  <si>
    <t>Clavelina 1</t>
  </si>
  <si>
    <t>Jersey x Holstein</t>
  </si>
  <si>
    <t>Vaca Ordeño</t>
  </si>
  <si>
    <t>Lote 1 (Alta)</t>
  </si>
  <si>
    <t>Abierta</t>
  </si>
  <si>
    <t>Toro Jersey 502</t>
  </si>
  <si>
    <t>Vaca Madre 11</t>
  </si>
  <si>
    <t>Apta ordeño / Sana</t>
  </si>
  <si>
    <t>COL-2024-102</t>
  </si>
  <si>
    <t>Mariposa 2</t>
  </si>
  <si>
    <t>Gestante</t>
  </si>
  <si>
    <t>Vaca Madre 12</t>
  </si>
  <si>
    <t>COL-2024-103</t>
  </si>
  <si>
    <t>Clavelina 3</t>
  </si>
  <si>
    <t>Vaca Madre 13</t>
  </si>
  <si>
    <t>COL-2024-104</t>
  </si>
  <si>
    <t>Mariposa 4</t>
  </si>
  <si>
    <t>Vaca Madre 14</t>
  </si>
  <si>
    <t>COL-2024-105</t>
  </si>
  <si>
    <t>Clavelina 5</t>
  </si>
  <si>
    <t>Vaca Madre 15</t>
  </si>
  <si>
    <t>COL-2024-106</t>
  </si>
  <si>
    <t>Mariposa 6</t>
  </si>
  <si>
    <t>Vaca Madre 16</t>
  </si>
  <si>
    <t>COL-2024-107</t>
  </si>
  <si>
    <t>Clavelina 7</t>
  </si>
  <si>
    <t>Vaca Madre 17</t>
  </si>
  <si>
    <t>COL-2024-108</t>
  </si>
  <si>
    <t>Mariposa 8</t>
  </si>
  <si>
    <t>Vaca Madre 18</t>
  </si>
  <si>
    <t>COL-2024-109</t>
  </si>
  <si>
    <t>Clavelina 9</t>
  </si>
  <si>
    <t>Vaca Madre 19</t>
  </si>
  <si>
    <t>COL-2024-110</t>
  </si>
  <si>
    <t>Mariposa 10</t>
  </si>
  <si>
    <t>Vaca Madre 20</t>
  </si>
  <si>
    <t>COL-2024-111</t>
  </si>
  <si>
    <t>Clavelina 11</t>
  </si>
  <si>
    <t>Vaca Madre 21</t>
  </si>
  <si>
    <t>COL-2024-112</t>
  </si>
  <si>
    <t>Mariposa 12</t>
  </si>
  <si>
    <t>Vaca Madre 22</t>
  </si>
  <si>
    <t>COL-2024-113</t>
  </si>
  <si>
    <t>Clavelina 13</t>
  </si>
  <si>
    <t>Vaca Madre 23</t>
  </si>
  <si>
    <t>COL-2024-114</t>
  </si>
  <si>
    <t>Mariposa 14</t>
  </si>
  <si>
    <t>Vaca Madre 24</t>
  </si>
  <si>
    <t>COL-2024-115</t>
  </si>
  <si>
    <t>Clavelina 15</t>
  </si>
  <si>
    <t>Vaca Madre 25</t>
  </si>
  <si>
    <t>COL-2024-116</t>
  </si>
  <si>
    <t>Mariposa 16</t>
  </si>
  <si>
    <t>Vaca Madre 26</t>
  </si>
  <si>
    <t>COL-2024-117</t>
  </si>
  <si>
    <t>Clavelina 17</t>
  </si>
  <si>
    <t>Vaca Madre 27</t>
  </si>
  <si>
    <t>COL-2024-118</t>
  </si>
  <si>
    <t>Mariposa 18</t>
  </si>
  <si>
    <t>Vaca Madre 28</t>
  </si>
  <si>
    <t>COL-2024-119</t>
  </si>
  <si>
    <t>Clavelina 19</t>
  </si>
  <si>
    <t>Vaca Madre 29</t>
  </si>
  <si>
    <t>COL-2024-120</t>
  </si>
  <si>
    <t>Mariposa 20</t>
  </si>
  <si>
    <t>Vaca Madre 30</t>
  </si>
  <si>
    <t>COL-2024-121</t>
  </si>
  <si>
    <t>Clavelina 21</t>
  </si>
  <si>
    <t>Vaca Madre 31</t>
  </si>
  <si>
    <t>COL-2024-122</t>
  </si>
  <si>
    <t>Mariposa 22</t>
  </si>
  <si>
    <t>Vaca Madre 32</t>
  </si>
  <si>
    <t>COL-2024-123</t>
  </si>
  <si>
    <t>Clavelina 23</t>
  </si>
  <si>
    <t>Vaca Madre 33</t>
  </si>
  <si>
    <t>COL-2024-124</t>
  </si>
  <si>
    <t>Mariposa 24</t>
  </si>
  <si>
    <t>Vaca Madre 34</t>
  </si>
  <si>
    <t>COL-2024-125</t>
  </si>
  <si>
    <t>Clavelina 25</t>
  </si>
  <si>
    <t>Vaca Madre 35</t>
  </si>
  <si>
    <t>COL-2023-201</t>
  </si>
  <si>
    <t>Sombra 1</t>
  </si>
  <si>
    <t>Jersey</t>
  </si>
  <si>
    <t>Vaca Horra</t>
  </si>
  <si>
    <t>Lote 2 (Secas)</t>
  </si>
  <si>
    <t>Gestante Conf.</t>
  </si>
  <si>
    <t>Vaca Madre 6</t>
  </si>
  <si>
    <t>Periodo de Secado / CMM Negativo</t>
  </si>
  <si>
    <t>COL-2023-202</t>
  </si>
  <si>
    <t>Sombra 2</t>
  </si>
  <si>
    <t>Vaca Madre 7</t>
  </si>
  <si>
    <t>COL-2023-203</t>
  </si>
  <si>
    <t>Sombra 3</t>
  </si>
  <si>
    <t>Vaca Madre 8</t>
  </si>
  <si>
    <t>COL-2023-204</t>
  </si>
  <si>
    <t>Sombra 4</t>
  </si>
  <si>
    <t>Vaca Madre 9</t>
  </si>
  <si>
    <t>COL-2023-205</t>
  </si>
  <si>
    <t>Sombra 5</t>
  </si>
  <si>
    <t>Vaca Madre 10</t>
  </si>
  <si>
    <t>COL-2023-206</t>
  </si>
  <si>
    <t>Sombra 6</t>
  </si>
  <si>
    <t>COL-2025-301</t>
  </si>
  <si>
    <t>Novilla 1</t>
  </si>
  <si>
    <t>Mestiza Jersey</t>
  </si>
  <si>
    <t>Novilla Levante</t>
  </si>
  <si>
    <t>Lote 3 (Levante)</t>
  </si>
  <si>
    <t>Vacía (Edad servicio)</t>
  </si>
  <si>
    <t>Toro Holstein 101</t>
  </si>
  <si>
    <t>Vaca Ordeño 1</t>
  </si>
  <si>
    <t>Plan vacunal completo</t>
  </si>
  <si>
    <t>COL-2025-302</t>
  </si>
  <si>
    <t>Novilla 2</t>
  </si>
  <si>
    <t>Vaca Ordeño 2</t>
  </si>
  <si>
    <t>COL-2025-303</t>
  </si>
  <si>
    <t>Novilla 3</t>
  </si>
  <si>
    <t>Vaca Ordeño 3</t>
  </si>
  <si>
    <t>COL-2025-304</t>
  </si>
  <si>
    <t>Novilla 4</t>
  </si>
  <si>
    <t>Vaca Ordeño 4</t>
  </si>
  <si>
    <t>COL-2025-305</t>
  </si>
  <si>
    <t>Novilla 5</t>
  </si>
  <si>
    <t>Vaca Ordeño 5</t>
  </si>
  <si>
    <t>COL-2025-306</t>
  </si>
  <si>
    <t>Novilla 6</t>
  </si>
  <si>
    <t>Vaca Ordeño 6</t>
  </si>
  <si>
    <t>COL-2025-307</t>
  </si>
  <si>
    <t>Novilla 7</t>
  </si>
  <si>
    <t>Vaca Ordeño 7</t>
  </si>
  <si>
    <t>COL-2025-308</t>
  </si>
  <si>
    <t>Novilla 8</t>
  </si>
  <si>
    <t>Vaca Ordeño 8</t>
  </si>
  <si>
    <t>COL-2025-309</t>
  </si>
  <si>
    <t>Novilla 9</t>
  </si>
  <si>
    <t>Vaca Ordeño 9</t>
  </si>
  <si>
    <t>COL-2025-310</t>
  </si>
  <si>
    <t>Novilla 10</t>
  </si>
  <si>
    <t>Vaca Ordeño 10</t>
  </si>
  <si>
    <t>COL-2025-311</t>
  </si>
  <si>
    <t>Novilla 11</t>
  </si>
  <si>
    <t>Vaca Ordeño 11</t>
  </si>
  <si>
    <t>COL-2025-312</t>
  </si>
  <si>
    <t>Novilla 12</t>
  </si>
  <si>
    <t>Vaca Ordeño 12</t>
  </si>
  <si>
    <t>COL-2025-313</t>
  </si>
  <si>
    <t>Novilla 13</t>
  </si>
  <si>
    <t>Vaca Ordeño 13</t>
  </si>
  <si>
    <t>COL-2025-314</t>
  </si>
  <si>
    <t>Novilla 14</t>
  </si>
  <si>
    <t>Vaca Ordeño 14</t>
  </si>
  <si>
    <t>COL-2025-315</t>
  </si>
  <si>
    <t>Novilla 15</t>
  </si>
  <si>
    <t>Vaca Ordeño 15</t>
  </si>
  <si>
    <t>COL-2025-316</t>
  </si>
  <si>
    <t>Novilla 16</t>
  </si>
  <si>
    <t>Vaca Ordeño 16</t>
  </si>
  <si>
    <t>COL-2025-317</t>
  </si>
  <si>
    <t>Novilla 17</t>
  </si>
  <si>
    <t>Vaca Ordeño 17</t>
  </si>
  <si>
    <t>COL-2025-318</t>
  </si>
  <si>
    <t>Novilla 18</t>
  </si>
  <si>
    <t>Vaca Ordeño 18</t>
  </si>
  <si>
    <t>COL-2026-401</t>
  </si>
  <si>
    <t>Ternero 1</t>
  </si>
  <si>
    <t>Jersey Pure</t>
  </si>
  <si>
    <t>Ternero Lactante</t>
  </si>
  <si>
    <t>Lote Cuna</t>
  </si>
  <si>
    <t>No aplica</t>
  </si>
  <si>
    <t>Consumo calostro ok / Desparasitado</t>
  </si>
  <si>
    <t>COL-2026-402</t>
  </si>
  <si>
    <t>Ternero 2</t>
  </si>
  <si>
    <t>COL-2026-403</t>
  </si>
  <si>
    <t>Ternero 3</t>
  </si>
  <si>
    <t>COL-2026-404</t>
  </si>
  <si>
    <t>Ternero 4</t>
  </si>
  <si>
    <t>COL-2026-405</t>
  </si>
  <si>
    <t>Ternero 5</t>
  </si>
  <si>
    <t>COL-2026-406</t>
  </si>
  <si>
    <t>Ternero 6</t>
  </si>
  <si>
    <t>REGISTRO MENSUAL DE CONTROL LECHERO Y PRUEBA CMT (12 MESES)</t>
  </si>
  <si>
    <t>Monitoreo Individual de Producción y Diagnóstico de Mastitis Subclínica | Manual Asojersey</t>
  </si>
  <si>
    <t>1. REGISTRO DE PRODUCCIÓN DIARIA INDIVIDUAL POR VACA EN ORDEÑO (MUESTRA MENSUAL EN KG/LITEROS)</t>
  </si>
  <si>
    <t>N° Chapeta</t>
  </si>
  <si>
    <t>Nombre Vaca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</si>
  <si>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</si>
  <si>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</si>
  <si>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</si>
  <si>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</si>
  <si>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</si>
  <si>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</si>
  <si>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</si>
  <si>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</si>
  <si>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</si>
  <si>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</si>
  <si>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</si>
  <si>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</si>
  <si>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Prom/Vaca</t>
  </si>
  <si>
    <t>Vaca Ordeño 19</t>
  </si>
  <si>
    <t>Vaca Ordeño 20</t>
  </si>
  <si>
    <t>Vaca Ordeño 21</t>
  </si>
  <si>
    <t>Vaca Ordeño 22</t>
  </si>
  <si>
    <t>Vaca Ordeño 23</t>
  </si>
  <si>
    <t>Vaca Ordeño 24</t>
  </si>
  <si>
    <t>Vaca Ordeño 25</t>
  </si>
  <si>
    <t>PROMEDIO HATO</t>
  </si>
  <si>
    <t>25 Vacas</t>
  </si>
  <si>
    <t>2. MONITOREO DE MASTITIS SUBCLÍNICA (TEST DE CALIFORNIA - CMT MENSUAL)</t>
  </si>
  <si>
    <t>Cuarto AI</t>
  </si>
  <si>
    <t>Cuarto AD</t>
  </si>
  <si>
    <t>Cuarto PI</t>
  </si>
  <si>
    <t>Cuarto PD</t>
  </si>
  <si>
    <t>Resultado CMT</t>
  </si>
  <si>
    <t>Acción Correctiva BPG</t>
  </si>
  <si>
    <t>Negativo</t>
  </si>
  <si>
    <t>Sano</t>
  </si>
  <si>
    <t>Rutina normal de sellado</t>
  </si>
  <si>
    <t>Traza</t>
  </si>
  <si>
    <t>Atención</t>
  </si>
  <si>
    <t>Monitoreo en próximo ordeño</t>
  </si>
  <si>
    <t>Grado 1 (+)</t>
  </si>
  <si>
    <t>Subclínica</t>
  </si>
  <si>
    <t>Desinfección intensiva / Sellador reactivo</t>
  </si>
  <si>
    <t>Grado 2 (++)</t>
  </si>
  <si>
    <t>Alerta Clin.</t>
  </si>
  <si>
    <t>Aislamiento de leche / Pauta veterinaria</t>
  </si>
  <si>
    <t>REGISTRO DE REPRODUCCIÓN Y PLAN SANITARIO OFICIAL ICA (12 MESES)</t>
  </si>
  <si>
    <t>Control de Días Abiertos, Inseminación y Calendario de Vacunación | Finca La Esperanza</t>
  </si>
  <si>
    <t>1. REGISTRO REPRODUCTIVO Y CONTROL DE DÍAS ABIERTOS (META: &lt;= 85 DÍAS)</t>
  </si>
  <si>
    <t>Fecha Último Parto</t>
  </si>
  <si>
    <t>Fecha Servicio/IA</t>
  </si>
  <si>
    <t>Toro / Pajilla</t>
  </si>
  <si>
    <t>Diagnóstico Preñez</t>
  </si>
  <si>
    <t>Fecha Probable Parto</t>
  </si>
  <si>
    <t>Días Abiertos</t>
  </si>
  <si>
    <t>2025-11-10</t>
  </si>
  <si>
    <t>2026-01-25</t>
  </si>
  <si>
    <t>Jersey 502</t>
  </si>
  <si>
    <t>Confirmado (Eco)</t>
  </si>
  <si>
    <t>2026-11-03</t>
  </si>
  <si>
    <t>2025-12-05</t>
  </si>
  <si>
    <t>2026-02-18</t>
  </si>
  <si>
    <t>Jersey 504</t>
  </si>
  <si>
    <t>Confirmado (Palp)</t>
  </si>
  <si>
    <t>2026-11-26</t>
  </si>
  <si>
    <t>2026-01-15</t>
  </si>
  <si>
    <t>2026-04-10</t>
  </si>
  <si>
    <t>Holstein 101</t>
  </si>
  <si>
    <t>Pendiente</t>
  </si>
  <si>
    <t>2027-01-16</t>
  </si>
  <si>
    <t>Servida</t>
  </si>
  <si>
    <t>2026-02-01</t>
  </si>
  <si>
    <t>2026-03-22</t>
  </si>
  <si>
    <t>2026-12-28</t>
  </si>
  <si>
    <t>2026-03-10</t>
  </si>
  <si>
    <t>Sin servicio</t>
  </si>
  <si>
    <t>N/A</t>
  </si>
  <si>
    <t>Vacía</t>
  </si>
  <si>
    <t>En Celo / Abierta</t>
  </si>
  <si>
    <t>2. PLAN SANITARIO Y REGISTRO DE MEDICAMENTOS VETERINARIOS (BPG / ICA)</t>
  </si>
  <si>
    <t>Fecha</t>
  </si>
  <si>
    <t>Lote / Chapeta</t>
  </si>
  <si>
    <t>Diagnóstico / Evento</t>
  </si>
  <si>
    <t>Medicamento / Vacuna</t>
  </si>
  <si>
    <t>Reg. ICA</t>
  </si>
  <si>
    <t>Dosis / Vía</t>
  </si>
  <si>
    <t>Tiempo Retiro Leche (Días)</t>
  </si>
  <si>
    <t>Responsable</t>
  </si>
  <si>
    <t>Cumplimiento</t>
  </si>
  <si>
    <t>2026-05-12</t>
  </si>
  <si>
    <t>Todo el hato (55)</t>
  </si>
  <si>
    <t>Ciclo Vacunación Fiebre Aftosa</t>
  </si>
  <si>
    <t>Aftosa Bivalente</t>
  </si>
  <si>
    <t>ICA-1234</t>
  </si>
  <si>
    <t>2 ml / SC</t>
  </si>
  <si>
    <t>Dr. Vet. Ramírez</t>
  </si>
  <si>
    <t>Verificado ICA</t>
  </si>
  <si>
    <t>Novillas (18)</t>
  </si>
  <si>
    <t>Vacunación Brucelosis</t>
  </si>
  <si>
    <t>Cepa 19</t>
  </si>
  <si>
    <t>ICA-5678</t>
  </si>
  <si>
    <t>2026-06-01</t>
  </si>
  <si>
    <t>Tratamiento Mastitis Clínica</t>
  </si>
  <si>
    <t>Cefalexina Intramamaria</t>
  </si>
  <si>
    <t>ICA-9012</t>
  </si>
  <si>
    <t>1 jeringa / Cto</t>
  </si>
  <si>
    <t>Empleado 1</t>
  </si>
  <si>
    <t>Leche descartada 4 días</t>
  </si>
  <si>
    <t>2026-07-15</t>
  </si>
  <si>
    <t>Hato Adulto (31)</t>
  </si>
  <si>
    <t>Vermifugación Externa / Interna</t>
  </si>
  <si>
    <t>Ivermectina 1%</t>
  </si>
  <si>
    <t>ICA-3456</t>
  </si>
  <si>
    <t>1 ml / 50 kg</t>
  </si>
  <si>
    <t>Empleado 2</t>
  </si>
  <si>
    <t>Cumplido retiro</t>
  </si>
  <si>
    <t>REGISTRO DE USO DE AGUA Y RUTINA DE DESINFECCIÓN DE EQUIPOS (BPG)</t>
  </si>
  <si>
    <t>Conforme a Normatividad Corantioquia y Decreto 616 de Inocuidad de la Leche | Finca La Esperanza</t>
  </si>
  <si>
    <t>1. REGISTRO MENSUAL DE CONSUMO HÍDRICO Y EFICIENCIA (M3 Y LITROS/LITRO LECHE)</t>
  </si>
  <si>
    <t>Lectura Inicial (m³)</t>
  </si>
  <si>
    <t>Lectura Final (m³)</t>
  </si>
  <si>
    <t>Consumo Mes (m³)</t>
  </si>
  <si>
    <t>Consumo Agua (L)</t>
  </si>
  <si>
    <t>Producción Leche (L)</t>
  </si>
  <si>
    <t>Módulo Consumo (L agua/L leche)</t>
  </si>
  <si>
    <t>Evaluación Ambiental</t>
  </si>
  <si>
    <t>Eficiente (&lt; 2.0 L/L)</t>
  </si>
  <si>
    <t>Cumple norma ambiental</t>
  </si>
  <si>
    <t>PLAN DE ROTACIÓN DE POTREROS Y BALANCE NUTRICIONAL EN 15 HECTÁREAS</t>
  </si>
  <si>
    <t>Optimización de Forrajes y Suplementación Concentrada por Etapa | Finca La Esperanza</t>
  </si>
  <si>
    <t>1. PROGRAMA DE ROTACIÓN DE POTREROS (15 HA DIVIDIDAS EN 15 POTREROS DE 1.0 HA)</t>
  </si>
  <si>
    <t>N° Potrero</t>
  </si>
  <si>
    <t>Área (ha)</t>
  </si>
  <si>
    <t>Tipo de Pasto</t>
  </si>
  <si>
    <t>Días Ocupación</t>
  </si>
  <si>
    <t>Días Descanso</t>
  </si>
  <si>
    <t>Aforo Promedio (kg/m²)</t>
  </si>
  <si>
    <t>Oferta Forraje (kg/día)</t>
  </si>
  <si>
    <t>Potrero 1</t>
  </si>
  <si>
    <t>Kikuyo Mejorado</t>
  </si>
  <si>
    <t>Potrero 2</t>
  </si>
  <si>
    <t>Kikuyo / Trébol</t>
  </si>
  <si>
    <t>Potrero 3</t>
  </si>
  <si>
    <t>Potrero 4</t>
  </si>
  <si>
    <t>Potrero 5</t>
  </si>
  <si>
    <t>Potrero 6</t>
  </si>
  <si>
    <t>Potrero 7</t>
  </si>
  <si>
    <t>Potrero 8</t>
  </si>
  <si>
    <t>Potrero 9</t>
  </si>
  <si>
    <t>Potrero 10</t>
  </si>
  <si>
    <t>Potrero 11</t>
  </si>
  <si>
    <t>Potrero 12</t>
  </si>
  <si>
    <t>Potrero 13</t>
  </si>
  <si>
    <t>Potrero 14</t>
  </si>
  <si>
    <t>Potrero 15</t>
  </si>
  <si>
    <t>ESTADO DE RESULTADOS Y FLUJO DE CAJA MENSUAL DE LA FINCA (12 MESES)</t>
  </si>
  <si>
    <t>Evaluación de Rentabilidad, Costos de Producción y Margen Operacional | Finca La Esperanza</t>
  </si>
  <si>
    <t>Concepto Financiero ($ COP)</t>
  </si>
  <si>
    <t>TOTAL AÑO 1</t>
  </si>
  <si>
    <t>INGRESOS OPERACIONALES</t>
  </si>
  <si>
    <t>Venta de Leche Cruda</t>
  </si>
  <si>
    <t>Venta de Terneros Machos / Descarte</t>
  </si>
  <si>
    <t>TOTAL INGRESOS BRUTOS</t>
  </si>
  <si>
    <t>COSTOS DE PRODUCCIÓN Y OPERACIÓN</t>
  </si>
  <si>
    <t>Alimento Concentrado (Vacas, Novillas)</t>
  </si>
  <si>
    <t>Sal Mineralizada y Suplementos</t>
  </si>
  <si>
    <t>Mano de Obra Directa (2 Empleados)</t>
  </si>
  <si>
    <t>Energía Eléctrica y Combustibles</t>
  </si>
  <si>
    <t>Sanidad, Vacunas y Medicamentos BPG</t>
  </si>
  <si>
    <t>Detergentes y Saneamiento Ordeño</t>
  </si>
  <si>
    <t>Mantenimiento Praderas y Fertilizantes</t>
  </si>
  <si>
    <t>Mantenimiento Equipos y Repuestos</t>
  </si>
  <si>
    <t>Asistencia Técnica y Veterinaria</t>
  </si>
  <si>
    <t>TOTAL COSTOS OPERACIONALES</t>
  </si>
  <si>
    <t>UTILIDAD OPERACIONAL NETA</t>
  </si>
  <si>
    <t>COSTO DE PRODUCCIÓN POR LITRO ($/L)</t>
  </si>
  <si>
    <t>Foto</t>
  </si>
  <si>
    <t>col-2024-101.jpg</t>
  </si>
  <si>
    <t>col-2024-102.jpg</t>
  </si>
  <si>
    <t>col-2024-103.jpg</t>
  </si>
  <si>
    <t>col-2024-104.jpg</t>
  </si>
  <si>
    <t>col-2024-105.jpg</t>
  </si>
  <si>
    <t>col-2024-106.jpg</t>
  </si>
  <si>
    <t>col-2024-107.jpg</t>
  </si>
  <si>
    <t>col-2024-108.jpg</t>
  </si>
  <si>
    <t>col-2024-109.jpg</t>
  </si>
  <si>
    <t>col-2024-110.jpg</t>
  </si>
  <si>
    <t>col-2024-111.jpg</t>
  </si>
  <si>
    <t>col-2024-112.jpg</t>
  </si>
  <si>
    <t>col-2024-113.jpg</t>
  </si>
  <si>
    <t>col-2024-114.jpg</t>
  </si>
  <si>
    <t>col-2024-115.jpg</t>
  </si>
  <si>
    <t>col-2024-116.jpg</t>
  </si>
  <si>
    <t>col-2024-117.jpg</t>
  </si>
  <si>
    <t>col-2024-118.jpg</t>
  </si>
  <si>
    <t>col-2024-119.jpg</t>
  </si>
  <si>
    <t>col-2024-120.jpg</t>
  </si>
  <si>
    <t>col-2024-121.jpg</t>
  </si>
  <si>
    <t>col-2024-122.jpg</t>
  </si>
  <si>
    <t>col-2024-123.jpg</t>
  </si>
  <si>
    <t>col-2024-124.jpg</t>
  </si>
  <si>
    <t>col-2024-125.jpg</t>
  </si>
  <si>
    <t>col-2023-201.jpg</t>
  </si>
  <si>
    <t>col-2023-202.jpg</t>
  </si>
  <si>
    <t>col-2023-203.jpg</t>
  </si>
  <si>
    <t>col-2023-204.jpg</t>
  </si>
  <si>
    <t>col-2023-205.jpg</t>
  </si>
  <si>
    <t>col-2023-206.jpg</t>
  </si>
  <si>
    <t>col-2025-301.jpg</t>
  </si>
  <si>
    <t>col-2025-302.jpg</t>
  </si>
  <si>
    <t>col-2025-303.jpg</t>
  </si>
  <si>
    <t>col-2025-304.jpg</t>
  </si>
  <si>
    <t>col-2025-305.jpg</t>
  </si>
  <si>
    <t>col-2025-306.jpg</t>
  </si>
  <si>
    <t>col-2025-307.jpg</t>
  </si>
  <si>
    <t>col-2025-308.jpg</t>
  </si>
  <si>
    <t>col-2025-309.jpg</t>
  </si>
  <si>
    <t>col-2025-310.jpg</t>
  </si>
  <si>
    <t>col-2025-311.jpg</t>
  </si>
  <si>
    <t>col-2025-312.jpg</t>
  </si>
  <si>
    <t>col-2025-313.jpg</t>
  </si>
  <si>
    <t>col-2025-314.jpg</t>
  </si>
  <si>
    <t>col-2025-315.jpg</t>
  </si>
  <si>
    <t>col-2025-316.jpg</t>
  </si>
  <si>
    <t>col-2025-317.jpg</t>
  </si>
  <si>
    <t>col-2025-318.jpg</t>
  </si>
  <si>
    <t>col-2026-401.jpg</t>
  </si>
  <si>
    <t>col-2026-402.jpg</t>
  </si>
  <si>
    <t>col-2026-403.jpg</t>
  </si>
  <si>
    <t>col-2026-404.jpg</t>
  </si>
  <si>
    <t>col-2026-405.jpg</t>
  </si>
  <si>
    <t>col-2026-406.jpg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</si>
</sst>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\$#,##0"/>
    <numFmt numFmtId="166" formatCode="0.0%"/>
  </numFmts>
  <fonts count="8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10"/>
      <name val="Calibri"/>
    </font>
    <font>
      <sz val="10"/>
      <name val="Calibri"/>
    </font>
    <font>
      <i/>
      <sz val="9"/>
      <color rgb="FF333333"/>
      <name val="Calibri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2F5496"/>
        <bgColor rgb="FF2F5496"/>
      </patternFill>
    </fill>
    <fill>
      <patternFill patternType="solid">
        <fgColor rgb="FFDCE6F1"/>
        <bgColor rgb="FFDCE6F1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double">
        <color rgb="FF2F549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2F5496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4" fillId="3" borderId="0" xfId="0" applyFont="1" applyFill="1" applyAlignment="1">
      <alignment horizontal="center" vertical="center"/>
    </xf>
    <xf numFmtId="0" fontId="5" fillId="0" borderId="1" xfId="0" applyFont="1" applyBorder="1"/>
    <xf numFmtId="164" fontId="5" fillId="4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/>
    <xf numFmtId="164" fontId="5" fillId="5" borderId="1" xfId="0" applyNumberFormat="1" applyFont="1" applyFill="1" applyBorder="1" applyAlignment="1">
      <alignment horizontal="right" vertical="center"/>
    </xf>
    <xf numFmtId="0" fontId="6" fillId="0" borderId="1" xfId="0" applyFont="1" applyBorder="1"/>
    <xf numFmtId="3" fontId="6" fillId="4" borderId="1" xfId="0" applyNumberFormat="1" applyFont="1" applyFill="1" applyBorder="1" applyAlignment="1">
      <alignment horizontal="right" vertical="center"/>
    </xf>
    <xf numFmtId="166" fontId="5" fillId="5" borderId="1" xfId="0" applyNumberFormat="1" applyFont="1" applyFill="1" applyBorder="1" applyAlignment="1">
      <alignment horizontal="right" vertical="center"/>
    </xf>
    <xf numFmtId="3" fontId="5" fillId="5" borderId="1" xfId="0" applyNumberFormat="1" applyFont="1" applyFill="1" applyBorder="1" applyAlignment="1">
      <alignment horizontal="right" vertical="center"/>
    </xf>
    <xf numFmtId="165" fontId="5" fillId="5" borderId="1" xfId="0" applyNumberFormat="1" applyFont="1" applyFill="1" applyBorder="1" applyAlignment="1">
      <alignment horizontal="right" vertical="center"/>
    </xf>
    <xf numFmtId="165" fontId="6" fillId="4" borderId="1" xfId="0" applyNumberFormat="1" applyFont="1" applyFill="1" applyBorder="1" applyAlignment="1">
      <alignment horizontal="right" vertical="center"/>
    </xf>
    <xf numFmtId="0" fontId="6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4" fontId="6" fillId="6" borderId="1" xfId="0" applyNumberFormat="1" applyFont="1" applyFill="1" applyBorder="1"/>
    <xf numFmtId="3" fontId="6" fillId="6" borderId="1" xfId="0" applyNumberFormat="1" applyFont="1" applyFill="1" applyBorder="1"/>
    <xf numFmtId="165" fontId="6" fillId="6" borderId="1" xfId="0" applyNumberFormat="1" applyFont="1" applyFill="1" applyBorder="1"/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/>
    <xf numFmtId="3" fontId="6" fillId="0" borderId="1" xfId="0" applyNumberFormat="1" applyFont="1" applyBorder="1"/>
    <xf numFmtId="165" fontId="6" fillId="0" borderId="1" xfId="0" applyNumberFormat="1" applyFont="1" applyBorder="1"/>
    <xf numFmtId="0" fontId="5" fillId="7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center" vertical="center"/>
    </xf>
    <xf numFmtId="164" fontId="5" fillId="7" borderId="2" xfId="0" applyNumberFormat="1" applyFont="1" applyFill="1" applyBorder="1"/>
    <xf numFmtId="3" fontId="5" fillId="7" borderId="2" xfId="0" applyNumberFormat="1" applyFont="1" applyFill="1" applyBorder="1"/>
    <xf numFmtId="165" fontId="5" fillId="7" borderId="2" xfId="0" applyNumberFormat="1" applyFont="1" applyFill="1" applyBorder="1"/>
    <xf numFmtId="0" fontId="4" fillId="3" borderId="3" xfId="0" applyFont="1" applyFill="1" applyBorder="1" applyAlignment="1">
      <alignment horizontal="center" vertical="center"/>
    </xf>
    <xf numFmtId="3" fontId="6" fillId="6" borderId="1" xfId="0" applyNumberFormat="1" applyFont="1" applyFill="1" applyBorder="1" applyAlignment="1">
      <alignment horizontal="right" vertical="center"/>
    </xf>
    <xf numFmtId="3" fontId="6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64" fontId="6" fillId="0" borderId="1" xfId="0" applyNumberFormat="1" applyFont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right" vertical="center"/>
    </xf>
    <xf numFmtId="0" fontId="6" fillId="0" borderId="0" xfId="0" applyFont="1"/>
    <xf numFmtId="165" fontId="6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0" fontId="5" fillId="0" borderId="0" xfId="0" applyFont="1"/>
    <xf numFmtId="165" fontId="5" fillId="7" borderId="1" xfId="0" applyNumberFormat="1" applyFont="1" applyFill="1" applyBorder="1" applyAlignment="1">
      <alignment horizontal="right" vertical="center"/>
    </xf>
    <xf numFmtId="165" fontId="5" fillId="7" borderId="2" xfId="0" applyNumberFormat="1" applyFont="1" applyFill="1" applyBorder="1" applyAlignment="1">
      <alignment horizontal="right" vertical="center"/>
    </xf>
    <xf numFmtId="165" fontId="5" fillId="5" borderId="2" xfId="0" applyNumberFormat="1" applyFont="1" applyFill="1" applyBorder="1" applyAlignment="1">
      <alignment horizontal="right" vertical="center"/>
    </xf>
    <xf numFmtId="0" fontId="3" fillId="2" borderId="0" xfId="0" applyFont="1" applyFill="1" applyAlignment="1">
      <alignment horizontal="left" vertical="center"/>
    </xf>
    <xf numFmtId="0" fontId="0" fillId="0" borderId="0" xfId="0"/>
    <xf numFmtId="0" fontId="3" fillId="2" borderId="0" xfId="0" applyFont="1" applyFill="1"/>
    <xf numFmtId="0" fontId="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workbookViewId="0"/>
  </sheetViews>
  <sheetFormatPr baseColWidth="10" defaultColWidth="9.140625" defaultRowHeight="15" x14ac:dyDescent="0.25"/>
  <cols>
    <col min="1" max="1" width="86" customWidth="1"/>
    <col min="2" max="3" width="15" customWidth="1"/>
    <col min="4" max="4" width="49" customWidth="1"/>
    <col min="5" max="5" width="19" customWidth="1"/>
    <col min="6" max="6" width="43" customWidth="1"/>
    <col min="7" max="7" width="23" customWidth="1"/>
    <col min="8" max="8" width="30" customWidth="1"/>
    <col min="9" max="9" width="35" customWidth="1"/>
  </cols>
  <sheetData>
    <row r="1" spans="1:9" ht="21" x14ac:dyDescent="0.35">
      <c r="A1" s="1" t="s">
        <v>0</v>
      </c>
    </row>
    <row r="2" spans="1:9" x14ac:dyDescent="0.25">
      <c r="A2" s="2" t="s">
        <v>1</v>
      </c>
    </row>
    <row r="4" spans="1:9" x14ac:dyDescent="0.25">
      <c r="A4" s="46" t="s">
        <v>2</v>
      </c>
      <c r="B4" s="47"/>
      <c r="C4" s="47"/>
      <c r="D4" s="47"/>
      <c r="F4" s="46" t="s">
        <v>3</v>
      </c>
      <c r="G4" s="47"/>
      <c r="H4" s="47"/>
      <c r="I4" s="47"/>
    </row>
    <row r="5" spans="1:9" x14ac:dyDescent="0.25">
      <c r="A5" s="3" t="s">
        <v>4</v>
      </c>
      <c r="B5" s="3" t="s">
        <v>5</v>
      </c>
      <c r="C5" s="3" t="s">
        <v>6</v>
      </c>
      <c r="D5" s="3" t="s">
        <v>7</v>
      </c>
      <c r="F5" s="3" t="s">
        <v>8</v>
      </c>
      <c r="G5" s="3" t="s">
        <v>9</v>
      </c>
      <c r="H5" s="3" t="s">
        <v>10</v>
      </c>
      <c r="I5" s="3" t="s">
        <v>11</v>
      </c>
    </row>
    <row r="6" spans="1:9" x14ac:dyDescent="0.25">
      <c r="A6" s="4" t="s">
        <v>12</v>
      </c>
      <c r="B6" s="5">
        <v>15</v>
      </c>
      <c r="C6" s="6" t="s">
        <v>13</v>
      </c>
      <c r="D6" s="7" t="s">
        <v>14</v>
      </c>
      <c r="F6" s="4" t="s">
        <v>15</v>
      </c>
      <c r="G6" s="8">
        <f>B12/B7</f>
        <v>28</v>
      </c>
      <c r="H6" s="9" t="s">
        <v>16</v>
      </c>
      <c r="I6" s="7" t="s">
        <v>17</v>
      </c>
    </row>
    <row r="7" spans="1:9" x14ac:dyDescent="0.25">
      <c r="A7" s="9" t="s">
        <v>18</v>
      </c>
      <c r="B7" s="10">
        <v>25</v>
      </c>
      <c r="C7" s="6" t="s">
        <v>19</v>
      </c>
      <c r="D7" s="7" t="s">
        <v>20</v>
      </c>
      <c r="F7" s="4" t="s">
        <v>21</v>
      </c>
      <c r="G7" s="8">
        <f>B11/B6</f>
        <v>3.6666666666666665</v>
      </c>
      <c r="H7" s="9" t="s">
        <v>22</v>
      </c>
      <c r="I7" s="7" t="s">
        <v>23</v>
      </c>
    </row>
    <row r="8" spans="1:9" x14ac:dyDescent="0.25">
      <c r="A8" s="9" t="s">
        <v>24</v>
      </c>
      <c r="B8" s="10">
        <v>6</v>
      </c>
      <c r="C8" s="6" t="s">
        <v>19</v>
      </c>
      <c r="D8" s="7" t="s">
        <v>25</v>
      </c>
      <c r="F8" s="4" t="s">
        <v>26</v>
      </c>
      <c r="G8" s="11">
        <f>B7/(B7+B8)</f>
        <v>0.80645161290322576</v>
      </c>
      <c r="H8" s="9" t="s">
        <v>27</v>
      </c>
      <c r="I8" s="7" t="s">
        <v>28</v>
      </c>
    </row>
    <row r="9" spans="1:9" x14ac:dyDescent="0.25">
      <c r="A9" s="9" t="s">
        <v>29</v>
      </c>
      <c r="B9" s="10">
        <v>18</v>
      </c>
      <c r="C9" s="6" t="s">
        <v>19</v>
      </c>
      <c r="D9" s="7" t="s">
        <v>30</v>
      </c>
      <c r="F9" s="4" t="s">
        <v>31</v>
      </c>
      <c r="G9" s="11">
        <f>B9/B7</f>
        <v>0.72</v>
      </c>
      <c r="H9" s="9" t="s">
        <v>32</v>
      </c>
      <c r="I9" s="7" t="s">
        <v>33</v>
      </c>
    </row>
    <row r="10" spans="1:9" x14ac:dyDescent="0.25">
      <c r="A10" s="9" t="s">
        <v>34</v>
      </c>
      <c r="B10" s="10">
        <v>6</v>
      </c>
      <c r="C10" s="6" t="s">
        <v>19</v>
      </c>
      <c r="D10" s="7" t="s">
        <v>35</v>
      </c>
      <c r="F10" s="4" t="s">
        <v>36</v>
      </c>
      <c r="G10" s="8">
        <f>B7/B14</f>
        <v>8.3333333333333339</v>
      </c>
      <c r="H10" s="9" t="s">
        <v>37</v>
      </c>
      <c r="I10" s="7" t="s">
        <v>38</v>
      </c>
    </row>
    <row r="11" spans="1:9" x14ac:dyDescent="0.25">
      <c r="A11" s="4" t="s">
        <v>39</v>
      </c>
      <c r="B11" s="12">
        <f>SUM(B7:B10)</f>
        <v>55</v>
      </c>
      <c r="C11" s="6" t="s">
        <v>19</v>
      </c>
      <c r="D11" s="7" t="s">
        <v>40</v>
      </c>
      <c r="F11" s="4" t="s">
        <v>41</v>
      </c>
      <c r="G11" s="8">
        <f>B12*365</f>
        <v>255500</v>
      </c>
      <c r="H11" s="9" t="s">
        <v>42</v>
      </c>
      <c r="I11" s="7" t="s">
        <v>43</v>
      </c>
    </row>
    <row r="12" spans="1:9" x14ac:dyDescent="0.25">
      <c r="A12" s="9" t="s">
        <v>44</v>
      </c>
      <c r="B12" s="10">
        <v>700</v>
      </c>
      <c r="C12" s="6" t="s">
        <v>45</v>
      </c>
      <c r="D12" s="7" t="s">
        <v>46</v>
      </c>
      <c r="F12" s="4" t="s">
        <v>47</v>
      </c>
      <c r="G12" s="8">
        <v>1.8</v>
      </c>
      <c r="H12" s="9" t="s">
        <v>48</v>
      </c>
      <c r="I12" s="7" t="s">
        <v>49</v>
      </c>
    </row>
    <row r="13" spans="1:9" x14ac:dyDescent="0.25">
      <c r="A13" s="9" t="s">
        <v>50</v>
      </c>
      <c r="B13" s="10">
        <v>2</v>
      </c>
      <c r="C13" s="6" t="s">
        <v>51</v>
      </c>
      <c r="D13" s="7" t="s">
        <v>52</v>
      </c>
      <c r="F13" s="4" t="s">
        <v>53</v>
      </c>
      <c r="G13" s="13">
        <v>1020</v>
      </c>
      <c r="H13" s="9" t="s">
        <v>54</v>
      </c>
      <c r="I13" s="7" t="s">
        <v>55</v>
      </c>
    </row>
    <row r="14" spans="1:9" x14ac:dyDescent="0.25">
      <c r="A14" s="9" t="s">
        <v>56</v>
      </c>
      <c r="B14" s="10">
        <v>3</v>
      </c>
      <c r="C14" s="6" t="s">
        <v>57</v>
      </c>
      <c r="D14" s="7" t="s">
        <v>58</v>
      </c>
    </row>
    <row r="15" spans="1:9" x14ac:dyDescent="0.25">
      <c r="A15" s="9" t="s">
        <v>59</v>
      </c>
      <c r="B15" s="10">
        <v>1</v>
      </c>
      <c r="C15" s="6" t="s">
        <v>60</v>
      </c>
      <c r="D15" s="7" t="s">
        <v>61</v>
      </c>
    </row>
    <row r="16" spans="1:9" x14ac:dyDescent="0.25">
      <c r="A16" s="9" t="s">
        <v>62</v>
      </c>
      <c r="B16" s="10">
        <v>2</v>
      </c>
      <c r="C16" s="6" t="s">
        <v>63</v>
      </c>
      <c r="D16" s="7" t="s">
        <v>64</v>
      </c>
    </row>
    <row r="17" spans="1:9" x14ac:dyDescent="0.25">
      <c r="A17" s="9" t="s">
        <v>65</v>
      </c>
      <c r="B17" s="14">
        <v>2250</v>
      </c>
      <c r="C17" s="6" t="s">
        <v>66</v>
      </c>
      <c r="D17" s="7" t="s">
        <v>67</v>
      </c>
    </row>
    <row r="19" spans="1:9" x14ac:dyDescent="0.25">
      <c r="A19" s="48" t="s">
        <v>68</v>
      </c>
      <c r="B19" s="47"/>
      <c r="C19" s="47"/>
      <c r="D19" s="47"/>
      <c r="E19" s="47"/>
      <c r="F19" s="47"/>
      <c r="G19" s="47"/>
      <c r="H19" s="47"/>
      <c r="I19" s="47"/>
    </row>
    <row r="20" spans="1:9" x14ac:dyDescent="0.25">
      <c r="A20" s="3" t="s">
        <v>69</v>
      </c>
      <c r="B20" s="3" t="s">
        <v>70</v>
      </c>
      <c r="C20" s="3" t="s">
        <v>71</v>
      </c>
      <c r="D20" s="3" t="s">
        <v>72</v>
      </c>
      <c r="E20" s="3" t="s">
        <v>73</v>
      </c>
      <c r="F20" s="3" t="s">
        <v>74</v>
      </c>
      <c r="G20" s="3" t="s">
        <v>75</v>
      </c>
      <c r="H20" s="3" t="s">
        <v>76</v>
      </c>
      <c r="I20" s="3" t="s">
        <v>77</v>
      </c>
    </row>
    <row r="21" spans="1:9" x14ac:dyDescent="0.25">
      <c r="A21" s="15" t="s">
        <v>78</v>
      </c>
      <c r="B21" s="16">
        <v>31</v>
      </c>
      <c r="C21" s="16">
        <v>25</v>
      </c>
      <c r="D21" s="17">
        <v>710</v>
      </c>
      <c r="E21" s="18">
        <f t="shared" ref="E21:E32" si="0">B21*D21</f>
        <v>22010</v>
      </c>
      <c r="F21" s="19">
        <f t="shared" ref="F21:F32" si="1">E21*$B$17</f>
        <v>49522500</v>
      </c>
      <c r="G21" s="19">
        <v>20450000</v>
      </c>
      <c r="H21" s="19">
        <f t="shared" ref="H21:H32" si="2">F21-G21</f>
        <v>29072500</v>
      </c>
      <c r="I21" s="19">
        <f t="shared" ref="I21:I33" si="3">G21/E21</f>
        <v>929.12312585188556</v>
      </c>
    </row>
    <row r="22" spans="1:9" x14ac:dyDescent="0.25">
      <c r="A22" s="20" t="s">
        <v>79</v>
      </c>
      <c r="B22" s="6">
        <v>28</v>
      </c>
      <c r="C22" s="6">
        <v>25</v>
      </c>
      <c r="D22" s="21">
        <v>695</v>
      </c>
      <c r="E22" s="22">
        <f t="shared" si="0"/>
        <v>19460</v>
      </c>
      <c r="F22" s="23">
        <f t="shared" si="1"/>
        <v>43785000</v>
      </c>
      <c r="G22" s="23">
        <v>19200000</v>
      </c>
      <c r="H22" s="23">
        <f t="shared" si="2"/>
        <v>24585000</v>
      </c>
      <c r="I22" s="23">
        <f t="shared" si="3"/>
        <v>986.63926002055496</v>
      </c>
    </row>
    <row r="23" spans="1:9" x14ac:dyDescent="0.25">
      <c r="A23" s="15" t="s">
        <v>80</v>
      </c>
      <c r="B23" s="16">
        <v>31</v>
      </c>
      <c r="C23" s="16">
        <v>24</v>
      </c>
      <c r="D23" s="17">
        <v>680</v>
      </c>
      <c r="E23" s="18">
        <f t="shared" si="0"/>
        <v>21080</v>
      </c>
      <c r="F23" s="19">
        <f t="shared" si="1"/>
        <v>47430000</v>
      </c>
      <c r="G23" s="19">
        <v>20100000</v>
      </c>
      <c r="H23" s="19">
        <f t="shared" si="2"/>
        <v>27330000</v>
      </c>
      <c r="I23" s="19">
        <f t="shared" si="3"/>
        <v>953.51043643263756</v>
      </c>
    </row>
    <row r="24" spans="1:9" x14ac:dyDescent="0.25">
      <c r="A24" s="20" t="s">
        <v>81</v>
      </c>
      <c r="B24" s="6">
        <v>30</v>
      </c>
      <c r="C24" s="6">
        <v>24</v>
      </c>
      <c r="D24" s="21">
        <v>705</v>
      </c>
      <c r="E24" s="22">
        <f t="shared" si="0"/>
        <v>21150</v>
      </c>
      <c r="F24" s="23">
        <f t="shared" si="1"/>
        <v>47587500</v>
      </c>
      <c r="G24" s="23">
        <v>20300000</v>
      </c>
      <c r="H24" s="23">
        <f t="shared" si="2"/>
        <v>27287500</v>
      </c>
      <c r="I24" s="23">
        <f t="shared" si="3"/>
        <v>959.81087470449177</v>
      </c>
    </row>
    <row r="25" spans="1:9" x14ac:dyDescent="0.25">
      <c r="A25" s="15" t="s">
        <v>82</v>
      </c>
      <c r="B25" s="16">
        <v>31</v>
      </c>
      <c r="C25" s="16">
        <v>25</v>
      </c>
      <c r="D25" s="17">
        <v>725</v>
      </c>
      <c r="E25" s="18">
        <f t="shared" si="0"/>
        <v>22475</v>
      </c>
      <c r="F25" s="19">
        <f t="shared" si="1"/>
        <v>50568750</v>
      </c>
      <c r="G25" s="19">
        <v>20900000</v>
      </c>
      <c r="H25" s="19">
        <f t="shared" si="2"/>
        <v>29668750</v>
      </c>
      <c r="I25" s="19">
        <f t="shared" si="3"/>
        <v>929.92213570634033</v>
      </c>
    </row>
    <row r="26" spans="1:9" x14ac:dyDescent="0.25">
      <c r="A26" s="20" t="s">
        <v>83</v>
      </c>
      <c r="B26" s="6">
        <v>30</v>
      </c>
      <c r="C26" s="6">
        <v>26</v>
      </c>
      <c r="D26" s="21">
        <v>730</v>
      </c>
      <c r="E26" s="22">
        <f t="shared" si="0"/>
        <v>21900</v>
      </c>
      <c r="F26" s="23">
        <f t="shared" si="1"/>
        <v>49275000</v>
      </c>
      <c r="G26" s="23">
        <v>20700000</v>
      </c>
      <c r="H26" s="23">
        <f t="shared" si="2"/>
        <v>28575000</v>
      </c>
      <c r="I26" s="23">
        <f t="shared" si="3"/>
        <v>945.20547945205476</v>
      </c>
    </row>
    <row r="27" spans="1:9" x14ac:dyDescent="0.25">
      <c r="A27" s="15" t="s">
        <v>84</v>
      </c>
      <c r="B27" s="16">
        <v>31</v>
      </c>
      <c r="C27" s="16">
        <v>26</v>
      </c>
      <c r="D27" s="17">
        <v>715</v>
      </c>
      <c r="E27" s="18">
        <f t="shared" si="0"/>
        <v>22165</v>
      </c>
      <c r="F27" s="19">
        <f t="shared" si="1"/>
        <v>49871250</v>
      </c>
      <c r="G27" s="19">
        <v>20850000</v>
      </c>
      <c r="H27" s="19">
        <f t="shared" si="2"/>
        <v>29021250</v>
      </c>
      <c r="I27" s="19">
        <f t="shared" si="3"/>
        <v>940.67223099481168</v>
      </c>
    </row>
    <row r="28" spans="1:9" x14ac:dyDescent="0.25">
      <c r="A28" s="20" t="s">
        <v>85</v>
      </c>
      <c r="B28" s="6">
        <v>31</v>
      </c>
      <c r="C28" s="6">
        <v>25</v>
      </c>
      <c r="D28" s="21">
        <v>690</v>
      </c>
      <c r="E28" s="22">
        <f t="shared" si="0"/>
        <v>21390</v>
      </c>
      <c r="F28" s="23">
        <f t="shared" si="1"/>
        <v>48127500</v>
      </c>
      <c r="G28" s="23">
        <v>20400000</v>
      </c>
      <c r="H28" s="23">
        <f t="shared" si="2"/>
        <v>27727500</v>
      </c>
      <c r="I28" s="23">
        <f t="shared" si="3"/>
        <v>953.7166900420757</v>
      </c>
    </row>
    <row r="29" spans="1:9" x14ac:dyDescent="0.25">
      <c r="A29" s="15" t="s">
        <v>86</v>
      </c>
      <c r="B29" s="16">
        <v>30</v>
      </c>
      <c r="C29" s="16">
        <v>25</v>
      </c>
      <c r="D29" s="17">
        <v>700</v>
      </c>
      <c r="E29" s="18">
        <f t="shared" si="0"/>
        <v>21000</v>
      </c>
      <c r="F29" s="19">
        <f t="shared" si="1"/>
        <v>47250000</v>
      </c>
      <c r="G29" s="19">
        <v>20250000</v>
      </c>
      <c r="H29" s="19">
        <f t="shared" si="2"/>
        <v>27000000</v>
      </c>
      <c r="I29" s="19">
        <f t="shared" si="3"/>
        <v>964.28571428571433</v>
      </c>
    </row>
    <row r="30" spans="1:9" x14ac:dyDescent="0.25">
      <c r="A30" s="20" t="s">
        <v>87</v>
      </c>
      <c r="B30" s="6">
        <v>31</v>
      </c>
      <c r="C30" s="6">
        <v>25</v>
      </c>
      <c r="D30" s="21">
        <v>720</v>
      </c>
      <c r="E30" s="22">
        <f t="shared" si="0"/>
        <v>22320</v>
      </c>
      <c r="F30" s="23">
        <f t="shared" si="1"/>
        <v>50220000</v>
      </c>
      <c r="G30" s="23">
        <v>20800000</v>
      </c>
      <c r="H30" s="23">
        <f t="shared" si="2"/>
        <v>29420000</v>
      </c>
      <c r="I30" s="23">
        <f t="shared" si="3"/>
        <v>931.89964157706095</v>
      </c>
    </row>
    <row r="31" spans="1:9" x14ac:dyDescent="0.25">
      <c r="A31" s="15" t="s">
        <v>88</v>
      </c>
      <c r="B31" s="16">
        <v>30</v>
      </c>
      <c r="C31" s="16">
        <v>25</v>
      </c>
      <c r="D31" s="17">
        <v>715</v>
      </c>
      <c r="E31" s="18">
        <f t="shared" si="0"/>
        <v>21450</v>
      </c>
      <c r="F31" s="19">
        <f t="shared" si="1"/>
        <v>48262500</v>
      </c>
      <c r="G31" s="19">
        <v>20500000</v>
      </c>
      <c r="H31" s="19">
        <f t="shared" si="2"/>
        <v>27762500</v>
      </c>
      <c r="I31" s="19">
        <f t="shared" si="3"/>
        <v>955.71095571095566</v>
      </c>
    </row>
    <row r="32" spans="1:9" x14ac:dyDescent="0.25">
      <c r="A32" s="20" t="s">
        <v>89</v>
      </c>
      <c r="B32" s="6">
        <v>31</v>
      </c>
      <c r="C32" s="6">
        <v>25</v>
      </c>
      <c r="D32" s="21">
        <v>710</v>
      </c>
      <c r="E32" s="22">
        <f t="shared" si="0"/>
        <v>22010</v>
      </c>
      <c r="F32" s="23">
        <f t="shared" si="1"/>
        <v>49522500</v>
      </c>
      <c r="G32" s="23">
        <v>20950000</v>
      </c>
      <c r="H32" s="23">
        <f t="shared" si="2"/>
        <v>28572500</v>
      </c>
      <c r="I32" s="23">
        <f t="shared" si="3"/>
        <v>951.84007269422989</v>
      </c>
    </row>
    <row r="33" spans="1:9" x14ac:dyDescent="0.25">
      <c r="A33" s="24" t="s">
        <v>90</v>
      </c>
      <c r="B33" s="25">
        <f>SUM(B21:B32)</f>
        <v>365</v>
      </c>
      <c r="C33" s="25">
        <f>AVERAGE(C21:C32)</f>
        <v>25</v>
      </c>
      <c r="D33" s="26">
        <f>AVERAGE(D21:D32)</f>
        <v>707.91666666666663</v>
      </c>
      <c r="E33" s="27">
        <f>SUM(E21:E32)</f>
        <v>258410</v>
      </c>
      <c r="F33" s="28">
        <f>SUM(F21:F32)</f>
        <v>581422500</v>
      </c>
      <c r="G33" s="28">
        <f>SUM(G21:G32)</f>
        <v>245400000</v>
      </c>
      <c r="H33" s="28">
        <f>SUM(H21:H32)</f>
        <v>336022500</v>
      </c>
      <c r="I33" s="28">
        <f t="shared" si="3"/>
        <v>949.65365117449016</v>
      </c>
    </row>
  </sheetData>
  <mergeCells count="3">
    <mergeCell ref="A4:D4"/>
    <mergeCell ref="F4:I4"/>
    <mergeCell ref="A19:I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9"/>
  <sheetViews>
    <sheetView tabSelected="1" topLeftCell="C1" workbookViewId="0">
      <selection activeCell="N4" sqref="N4"/>
    </sheetView>
  </sheetViews>
  <sheetFormatPr baseColWidth="10" defaultColWidth="9.140625" defaultRowHeight="15" x14ac:dyDescent="0.25"/>
  <cols>
    <col min="1" max="1" width="91" customWidth="1"/>
    <col min="2" max="3" width="20" customWidth="1"/>
    <col min="4" max="5" width="19" customWidth="1"/>
    <col min="6" max="6" width="15" customWidth="1"/>
    <col min="7" max="7" width="24" customWidth="1"/>
    <col min="8" max="8" width="12" customWidth="1"/>
    <col min="9" max="9" width="16" customWidth="1"/>
    <col min="10" max="10" width="20" customWidth="1"/>
    <col min="11" max="11" width="17" customWidth="1"/>
    <col min="12" max="12" width="38" customWidth="1"/>
    <col min="13" max="13" width="16.28515625" bestFit="1" customWidth="1"/>
  </cols>
  <sheetData>
    <row r="1" spans="1:13" ht="21" x14ac:dyDescent="0.35">
      <c r="A1" s="1" t="s">
        <v>91</v>
      </c>
    </row>
    <row r="2" spans="1:13" x14ac:dyDescent="0.25">
      <c r="A2" s="2" t="s">
        <v>92</v>
      </c>
    </row>
    <row r="4" spans="1:13" x14ac:dyDescent="0.25">
      <c r="A4" s="29" t="s">
        <v>93</v>
      </c>
      <c r="B4" s="29" t="s">
        <v>94</v>
      </c>
      <c r="C4" s="29" t="s">
        <v>95</v>
      </c>
      <c r="D4" s="29" t="s">
        <v>96</v>
      </c>
      <c r="E4" s="29" t="s">
        <v>97</v>
      </c>
      <c r="F4" s="29" t="s">
        <v>98</v>
      </c>
      <c r="G4" s="29" t="s">
        <v>99</v>
      </c>
      <c r="H4" s="29" t="s">
        <v>100</v>
      </c>
      <c r="I4" s="29" t="s">
        <v>101</v>
      </c>
      <c r="J4" s="29" t="s">
        <v>102</v>
      </c>
      <c r="K4" s="29" t="s">
        <v>103</v>
      </c>
      <c r="L4" s="29" t="s">
        <v>104</v>
      </c>
      <c r="M4" s="49" t="s">
        <v>462</v>
      </c>
    </row>
    <row r="5" spans="1:13" x14ac:dyDescent="0.25">
      <c r="A5" s="16" t="s">
        <v>105</v>
      </c>
      <c r="B5" s="15" t="s">
        <v>106</v>
      </c>
      <c r="C5" s="15" t="s">
        <v>107</v>
      </c>
      <c r="D5" s="16" t="s">
        <v>108</v>
      </c>
      <c r="E5" s="16" t="s">
        <v>109</v>
      </c>
      <c r="F5" s="30">
        <v>38</v>
      </c>
      <c r="G5" s="16" t="s">
        <v>110</v>
      </c>
      <c r="H5" s="30">
        <v>2</v>
      </c>
      <c r="I5" s="30">
        <v>68</v>
      </c>
      <c r="J5" s="15" t="s">
        <v>111</v>
      </c>
      <c r="K5" s="15" t="s">
        <v>112</v>
      </c>
      <c r="L5" s="15" t="s">
        <v>113</v>
      </c>
      <c r="M5" t="s">
        <v>463</v>
      </c>
    </row>
    <row r="6" spans="1:13" x14ac:dyDescent="0.25">
      <c r="A6" s="6" t="s">
        <v>114</v>
      </c>
      <c r="B6" s="20" t="s">
        <v>115</v>
      </c>
      <c r="C6" s="20" t="s">
        <v>107</v>
      </c>
      <c r="D6" s="6" t="s">
        <v>108</v>
      </c>
      <c r="E6" s="6" t="s">
        <v>109</v>
      </c>
      <c r="F6" s="31">
        <v>40</v>
      </c>
      <c r="G6" s="6" t="s">
        <v>116</v>
      </c>
      <c r="H6" s="31">
        <v>3</v>
      </c>
      <c r="I6" s="31">
        <v>76</v>
      </c>
      <c r="J6" s="20" t="s">
        <v>111</v>
      </c>
      <c r="K6" s="20" t="s">
        <v>117</v>
      </c>
      <c r="L6" s="20" t="s">
        <v>113</v>
      </c>
      <c r="M6" t="s">
        <v>464</v>
      </c>
    </row>
    <row r="7" spans="1:13" x14ac:dyDescent="0.25">
      <c r="A7" s="16" t="s">
        <v>118</v>
      </c>
      <c r="B7" s="15" t="s">
        <v>119</v>
      </c>
      <c r="C7" s="15" t="s">
        <v>107</v>
      </c>
      <c r="D7" s="16" t="s">
        <v>108</v>
      </c>
      <c r="E7" s="16" t="s">
        <v>109</v>
      </c>
      <c r="F7" s="30">
        <v>42</v>
      </c>
      <c r="G7" s="16" t="s">
        <v>110</v>
      </c>
      <c r="H7" s="30">
        <v>4</v>
      </c>
      <c r="I7" s="30">
        <v>84</v>
      </c>
      <c r="J7" s="15" t="s">
        <v>111</v>
      </c>
      <c r="K7" s="15" t="s">
        <v>120</v>
      </c>
      <c r="L7" s="15" t="s">
        <v>113</v>
      </c>
      <c r="M7" t="s">
        <v>465</v>
      </c>
    </row>
    <row r="8" spans="1:13" x14ac:dyDescent="0.25">
      <c r="A8" s="6" t="s">
        <v>121</v>
      </c>
      <c r="B8" s="20" t="s">
        <v>122</v>
      </c>
      <c r="C8" s="20" t="s">
        <v>107</v>
      </c>
      <c r="D8" s="6" t="s">
        <v>108</v>
      </c>
      <c r="E8" s="6" t="s">
        <v>109</v>
      </c>
      <c r="F8" s="31">
        <v>44</v>
      </c>
      <c r="G8" s="6" t="s">
        <v>116</v>
      </c>
      <c r="H8" s="31">
        <v>1</v>
      </c>
      <c r="I8" s="31">
        <v>92</v>
      </c>
      <c r="J8" s="20" t="s">
        <v>111</v>
      </c>
      <c r="K8" s="20" t="s">
        <v>123</v>
      </c>
      <c r="L8" s="20" t="s">
        <v>113</v>
      </c>
      <c r="M8" t="s">
        <v>466</v>
      </c>
    </row>
    <row r="9" spans="1:13" x14ac:dyDescent="0.25">
      <c r="A9" s="16" t="s">
        <v>124</v>
      </c>
      <c r="B9" s="15" t="s">
        <v>125</v>
      </c>
      <c r="C9" s="15" t="s">
        <v>107</v>
      </c>
      <c r="D9" s="16" t="s">
        <v>108</v>
      </c>
      <c r="E9" s="16" t="s">
        <v>109</v>
      </c>
      <c r="F9" s="30">
        <v>46</v>
      </c>
      <c r="G9" s="16" t="s">
        <v>110</v>
      </c>
      <c r="H9" s="30">
        <v>2</v>
      </c>
      <c r="I9" s="30">
        <v>100</v>
      </c>
      <c r="J9" s="15" t="s">
        <v>111</v>
      </c>
      <c r="K9" s="15" t="s">
        <v>126</v>
      </c>
      <c r="L9" s="15" t="s">
        <v>113</v>
      </c>
      <c r="M9" t="s">
        <v>467</v>
      </c>
    </row>
    <row r="10" spans="1:13" x14ac:dyDescent="0.25">
      <c r="A10" s="6" t="s">
        <v>127</v>
      </c>
      <c r="B10" s="20" t="s">
        <v>128</v>
      </c>
      <c r="C10" s="20" t="s">
        <v>107</v>
      </c>
      <c r="D10" s="6" t="s">
        <v>108</v>
      </c>
      <c r="E10" s="6" t="s">
        <v>109</v>
      </c>
      <c r="F10" s="31">
        <v>48</v>
      </c>
      <c r="G10" s="6" t="s">
        <v>116</v>
      </c>
      <c r="H10" s="31">
        <v>3</v>
      </c>
      <c r="I10" s="31">
        <v>108</v>
      </c>
      <c r="J10" s="20" t="s">
        <v>111</v>
      </c>
      <c r="K10" s="20" t="s">
        <v>129</v>
      </c>
      <c r="L10" s="20" t="s">
        <v>113</v>
      </c>
      <c r="M10" t="s">
        <v>468</v>
      </c>
    </row>
    <row r="11" spans="1:13" x14ac:dyDescent="0.25">
      <c r="A11" s="16" t="s">
        <v>130</v>
      </c>
      <c r="B11" s="15" t="s">
        <v>131</v>
      </c>
      <c r="C11" s="15" t="s">
        <v>107</v>
      </c>
      <c r="D11" s="16" t="s">
        <v>108</v>
      </c>
      <c r="E11" s="16" t="s">
        <v>109</v>
      </c>
      <c r="F11" s="30">
        <v>50</v>
      </c>
      <c r="G11" s="16" t="s">
        <v>110</v>
      </c>
      <c r="H11" s="30">
        <v>4</v>
      </c>
      <c r="I11" s="30">
        <v>116</v>
      </c>
      <c r="J11" s="15" t="s">
        <v>111</v>
      </c>
      <c r="K11" s="15" t="s">
        <v>132</v>
      </c>
      <c r="L11" s="15" t="s">
        <v>113</v>
      </c>
      <c r="M11" t="s">
        <v>469</v>
      </c>
    </row>
    <row r="12" spans="1:13" x14ac:dyDescent="0.25">
      <c r="A12" s="6" t="s">
        <v>133</v>
      </c>
      <c r="B12" s="20" t="s">
        <v>134</v>
      </c>
      <c r="C12" s="20" t="s">
        <v>107</v>
      </c>
      <c r="D12" s="6" t="s">
        <v>108</v>
      </c>
      <c r="E12" s="6" t="s">
        <v>109</v>
      </c>
      <c r="F12" s="31">
        <v>52</v>
      </c>
      <c r="G12" s="6" t="s">
        <v>116</v>
      </c>
      <c r="H12" s="31">
        <v>1</v>
      </c>
      <c r="I12" s="31">
        <v>124</v>
      </c>
      <c r="J12" s="20" t="s">
        <v>111</v>
      </c>
      <c r="K12" s="20" t="s">
        <v>135</v>
      </c>
      <c r="L12" s="20" t="s">
        <v>113</v>
      </c>
      <c r="M12" t="s">
        <v>470</v>
      </c>
    </row>
    <row r="13" spans="1:13" x14ac:dyDescent="0.25">
      <c r="A13" s="16" t="s">
        <v>136</v>
      </c>
      <c r="B13" s="15" t="s">
        <v>137</v>
      </c>
      <c r="C13" s="15" t="s">
        <v>107</v>
      </c>
      <c r="D13" s="16" t="s">
        <v>108</v>
      </c>
      <c r="E13" s="16" t="s">
        <v>109</v>
      </c>
      <c r="F13" s="30">
        <v>54</v>
      </c>
      <c r="G13" s="16" t="s">
        <v>110</v>
      </c>
      <c r="H13" s="30">
        <v>2</v>
      </c>
      <c r="I13" s="30">
        <v>132</v>
      </c>
      <c r="J13" s="15" t="s">
        <v>111</v>
      </c>
      <c r="K13" s="15" t="s">
        <v>138</v>
      </c>
      <c r="L13" s="15" t="s">
        <v>113</v>
      </c>
      <c r="M13" t="s">
        <v>471</v>
      </c>
    </row>
    <row r="14" spans="1:13" x14ac:dyDescent="0.25">
      <c r="A14" s="6" t="s">
        <v>139</v>
      </c>
      <c r="B14" s="20" t="s">
        <v>140</v>
      </c>
      <c r="C14" s="20" t="s">
        <v>107</v>
      </c>
      <c r="D14" s="6" t="s">
        <v>108</v>
      </c>
      <c r="E14" s="6" t="s">
        <v>109</v>
      </c>
      <c r="F14" s="31">
        <v>56</v>
      </c>
      <c r="G14" s="6" t="s">
        <v>116</v>
      </c>
      <c r="H14" s="31">
        <v>3</v>
      </c>
      <c r="I14" s="31">
        <v>140</v>
      </c>
      <c r="J14" s="20" t="s">
        <v>111</v>
      </c>
      <c r="K14" s="20" t="s">
        <v>141</v>
      </c>
      <c r="L14" s="20" t="s">
        <v>113</v>
      </c>
      <c r="M14" t="s">
        <v>472</v>
      </c>
    </row>
    <row r="15" spans="1:13" x14ac:dyDescent="0.25">
      <c r="A15" s="16" t="s">
        <v>142</v>
      </c>
      <c r="B15" s="15" t="s">
        <v>143</v>
      </c>
      <c r="C15" s="15" t="s">
        <v>107</v>
      </c>
      <c r="D15" s="16" t="s">
        <v>108</v>
      </c>
      <c r="E15" s="16" t="s">
        <v>109</v>
      </c>
      <c r="F15" s="30">
        <v>58</v>
      </c>
      <c r="G15" s="16" t="s">
        <v>110</v>
      </c>
      <c r="H15" s="30">
        <v>4</v>
      </c>
      <c r="I15" s="30">
        <v>148</v>
      </c>
      <c r="J15" s="15" t="s">
        <v>111</v>
      </c>
      <c r="K15" s="15" t="s">
        <v>144</v>
      </c>
      <c r="L15" s="15" t="s">
        <v>113</v>
      </c>
      <c r="M15" t="s">
        <v>473</v>
      </c>
    </row>
    <row r="16" spans="1:13" x14ac:dyDescent="0.25">
      <c r="A16" s="6" t="s">
        <v>145</v>
      </c>
      <c r="B16" s="20" t="s">
        <v>146</v>
      </c>
      <c r="C16" s="20" t="s">
        <v>107</v>
      </c>
      <c r="D16" s="6" t="s">
        <v>108</v>
      </c>
      <c r="E16" s="6" t="s">
        <v>109</v>
      </c>
      <c r="F16" s="31">
        <v>36</v>
      </c>
      <c r="G16" s="6" t="s">
        <v>116</v>
      </c>
      <c r="H16" s="31">
        <v>1</v>
      </c>
      <c r="I16" s="31">
        <v>156</v>
      </c>
      <c r="J16" s="20" t="s">
        <v>111</v>
      </c>
      <c r="K16" s="20" t="s">
        <v>147</v>
      </c>
      <c r="L16" s="20" t="s">
        <v>113</v>
      </c>
      <c r="M16" t="s">
        <v>474</v>
      </c>
    </row>
    <row r="17" spans="1:13" x14ac:dyDescent="0.25">
      <c r="A17" s="16" t="s">
        <v>148</v>
      </c>
      <c r="B17" s="15" t="s">
        <v>149</v>
      </c>
      <c r="C17" s="15" t="s">
        <v>107</v>
      </c>
      <c r="D17" s="16" t="s">
        <v>108</v>
      </c>
      <c r="E17" s="16" t="s">
        <v>109</v>
      </c>
      <c r="F17" s="30">
        <v>38</v>
      </c>
      <c r="G17" s="16" t="s">
        <v>110</v>
      </c>
      <c r="H17" s="30">
        <v>2</v>
      </c>
      <c r="I17" s="30">
        <v>164</v>
      </c>
      <c r="J17" s="15" t="s">
        <v>111</v>
      </c>
      <c r="K17" s="15" t="s">
        <v>150</v>
      </c>
      <c r="L17" s="15" t="s">
        <v>113</v>
      </c>
      <c r="M17" t="s">
        <v>475</v>
      </c>
    </row>
    <row r="18" spans="1:13" x14ac:dyDescent="0.25">
      <c r="A18" s="6" t="s">
        <v>151</v>
      </c>
      <c r="B18" s="20" t="s">
        <v>152</v>
      </c>
      <c r="C18" s="20" t="s">
        <v>107</v>
      </c>
      <c r="D18" s="6" t="s">
        <v>108</v>
      </c>
      <c r="E18" s="6" t="s">
        <v>109</v>
      </c>
      <c r="F18" s="31">
        <v>40</v>
      </c>
      <c r="G18" s="6" t="s">
        <v>116</v>
      </c>
      <c r="H18" s="31">
        <v>3</v>
      </c>
      <c r="I18" s="31">
        <v>172</v>
      </c>
      <c r="J18" s="20" t="s">
        <v>111</v>
      </c>
      <c r="K18" s="20" t="s">
        <v>153</v>
      </c>
      <c r="L18" s="20" t="s">
        <v>113</v>
      </c>
      <c r="M18" t="s">
        <v>476</v>
      </c>
    </row>
    <row r="19" spans="1:13" x14ac:dyDescent="0.25">
      <c r="A19" s="16" t="s">
        <v>154</v>
      </c>
      <c r="B19" s="15" t="s">
        <v>155</v>
      </c>
      <c r="C19" s="15" t="s">
        <v>107</v>
      </c>
      <c r="D19" s="16" t="s">
        <v>108</v>
      </c>
      <c r="E19" s="16" t="s">
        <v>109</v>
      </c>
      <c r="F19" s="30">
        <v>42</v>
      </c>
      <c r="G19" s="16" t="s">
        <v>110</v>
      </c>
      <c r="H19" s="30">
        <v>4</v>
      </c>
      <c r="I19" s="30">
        <v>180</v>
      </c>
      <c r="J19" s="15" t="s">
        <v>111</v>
      </c>
      <c r="K19" s="15" t="s">
        <v>156</v>
      </c>
      <c r="L19" s="15" t="s">
        <v>113</v>
      </c>
      <c r="M19" t="s">
        <v>477</v>
      </c>
    </row>
    <row r="20" spans="1:13" x14ac:dyDescent="0.25">
      <c r="A20" s="6" t="s">
        <v>157</v>
      </c>
      <c r="B20" s="20" t="s">
        <v>158</v>
      </c>
      <c r="C20" s="20" t="s">
        <v>107</v>
      </c>
      <c r="D20" s="6" t="s">
        <v>108</v>
      </c>
      <c r="E20" s="6" t="s">
        <v>109</v>
      </c>
      <c r="F20" s="31">
        <v>44</v>
      </c>
      <c r="G20" s="6" t="s">
        <v>116</v>
      </c>
      <c r="H20" s="31">
        <v>1</v>
      </c>
      <c r="I20" s="31">
        <v>188</v>
      </c>
      <c r="J20" s="20" t="s">
        <v>111</v>
      </c>
      <c r="K20" s="20" t="s">
        <v>159</v>
      </c>
      <c r="L20" s="20" t="s">
        <v>113</v>
      </c>
      <c r="M20" t="s">
        <v>478</v>
      </c>
    </row>
    <row r="21" spans="1:13" x14ac:dyDescent="0.25">
      <c r="A21" s="16" t="s">
        <v>160</v>
      </c>
      <c r="B21" s="15" t="s">
        <v>161</v>
      </c>
      <c r="C21" s="15" t="s">
        <v>107</v>
      </c>
      <c r="D21" s="16" t="s">
        <v>108</v>
      </c>
      <c r="E21" s="16" t="s">
        <v>109</v>
      </c>
      <c r="F21" s="30">
        <v>46</v>
      </c>
      <c r="G21" s="16" t="s">
        <v>110</v>
      </c>
      <c r="H21" s="30">
        <v>2</v>
      </c>
      <c r="I21" s="30">
        <v>196</v>
      </c>
      <c r="J21" s="15" t="s">
        <v>111</v>
      </c>
      <c r="K21" s="15" t="s">
        <v>162</v>
      </c>
      <c r="L21" s="15" t="s">
        <v>113</v>
      </c>
      <c r="M21" t="s">
        <v>479</v>
      </c>
    </row>
    <row r="22" spans="1:13" x14ac:dyDescent="0.25">
      <c r="A22" s="6" t="s">
        <v>163</v>
      </c>
      <c r="B22" s="20" t="s">
        <v>164</v>
      </c>
      <c r="C22" s="20" t="s">
        <v>107</v>
      </c>
      <c r="D22" s="6" t="s">
        <v>108</v>
      </c>
      <c r="E22" s="6" t="s">
        <v>109</v>
      </c>
      <c r="F22" s="31">
        <v>48</v>
      </c>
      <c r="G22" s="6" t="s">
        <v>116</v>
      </c>
      <c r="H22" s="31">
        <v>3</v>
      </c>
      <c r="I22" s="31">
        <v>204</v>
      </c>
      <c r="J22" s="20" t="s">
        <v>111</v>
      </c>
      <c r="K22" s="20" t="s">
        <v>165</v>
      </c>
      <c r="L22" s="20" t="s">
        <v>113</v>
      </c>
      <c r="M22" t="s">
        <v>480</v>
      </c>
    </row>
    <row r="23" spans="1:13" x14ac:dyDescent="0.25">
      <c r="A23" s="16" t="s">
        <v>166</v>
      </c>
      <c r="B23" s="15" t="s">
        <v>167</v>
      </c>
      <c r="C23" s="15" t="s">
        <v>107</v>
      </c>
      <c r="D23" s="16" t="s">
        <v>108</v>
      </c>
      <c r="E23" s="16" t="s">
        <v>109</v>
      </c>
      <c r="F23" s="30">
        <v>50</v>
      </c>
      <c r="G23" s="16" t="s">
        <v>110</v>
      </c>
      <c r="H23" s="30">
        <v>4</v>
      </c>
      <c r="I23" s="30">
        <v>212</v>
      </c>
      <c r="J23" s="15" t="s">
        <v>111</v>
      </c>
      <c r="K23" s="15" t="s">
        <v>168</v>
      </c>
      <c r="L23" s="15" t="s">
        <v>113</v>
      </c>
      <c r="M23" t="s">
        <v>481</v>
      </c>
    </row>
    <row r="24" spans="1:13" x14ac:dyDescent="0.25">
      <c r="A24" s="6" t="s">
        <v>169</v>
      </c>
      <c r="B24" s="20" t="s">
        <v>170</v>
      </c>
      <c r="C24" s="20" t="s">
        <v>107</v>
      </c>
      <c r="D24" s="6" t="s">
        <v>108</v>
      </c>
      <c r="E24" s="6" t="s">
        <v>109</v>
      </c>
      <c r="F24" s="31">
        <v>52</v>
      </c>
      <c r="G24" s="6" t="s">
        <v>116</v>
      </c>
      <c r="H24" s="31">
        <v>1</v>
      </c>
      <c r="I24" s="31">
        <v>220</v>
      </c>
      <c r="J24" s="20" t="s">
        <v>111</v>
      </c>
      <c r="K24" s="20" t="s">
        <v>171</v>
      </c>
      <c r="L24" s="20" t="s">
        <v>113</v>
      </c>
      <c r="M24" t="s">
        <v>482</v>
      </c>
    </row>
    <row r="25" spans="1:13" x14ac:dyDescent="0.25">
      <c r="A25" s="16" t="s">
        <v>172</v>
      </c>
      <c r="B25" s="15" t="s">
        <v>173</v>
      </c>
      <c r="C25" s="15" t="s">
        <v>107</v>
      </c>
      <c r="D25" s="16" t="s">
        <v>108</v>
      </c>
      <c r="E25" s="16" t="s">
        <v>109</v>
      </c>
      <c r="F25" s="30">
        <v>54</v>
      </c>
      <c r="G25" s="16" t="s">
        <v>110</v>
      </c>
      <c r="H25" s="30">
        <v>2</v>
      </c>
      <c r="I25" s="30">
        <v>228</v>
      </c>
      <c r="J25" s="15" t="s">
        <v>111</v>
      </c>
      <c r="K25" s="15" t="s">
        <v>174</v>
      </c>
      <c r="L25" s="15" t="s">
        <v>113</v>
      </c>
      <c r="M25" t="s">
        <v>483</v>
      </c>
    </row>
    <row r="26" spans="1:13" x14ac:dyDescent="0.25">
      <c r="A26" s="6" t="s">
        <v>175</v>
      </c>
      <c r="B26" s="20" t="s">
        <v>176</v>
      </c>
      <c r="C26" s="20" t="s">
        <v>107</v>
      </c>
      <c r="D26" s="6" t="s">
        <v>108</v>
      </c>
      <c r="E26" s="6" t="s">
        <v>109</v>
      </c>
      <c r="F26" s="31">
        <v>56</v>
      </c>
      <c r="G26" s="6" t="s">
        <v>116</v>
      </c>
      <c r="H26" s="31">
        <v>3</v>
      </c>
      <c r="I26" s="31">
        <v>236</v>
      </c>
      <c r="J26" s="20" t="s">
        <v>111</v>
      </c>
      <c r="K26" s="20" t="s">
        <v>177</v>
      </c>
      <c r="L26" s="20" t="s">
        <v>113</v>
      </c>
      <c r="M26" t="s">
        <v>484</v>
      </c>
    </row>
    <row r="27" spans="1:13" x14ac:dyDescent="0.25">
      <c r="A27" s="16" t="s">
        <v>178</v>
      </c>
      <c r="B27" s="15" t="s">
        <v>179</v>
      </c>
      <c r="C27" s="15" t="s">
        <v>107</v>
      </c>
      <c r="D27" s="16" t="s">
        <v>108</v>
      </c>
      <c r="E27" s="16" t="s">
        <v>109</v>
      </c>
      <c r="F27" s="30">
        <v>58</v>
      </c>
      <c r="G27" s="16" t="s">
        <v>110</v>
      </c>
      <c r="H27" s="30">
        <v>4</v>
      </c>
      <c r="I27" s="30">
        <v>244</v>
      </c>
      <c r="J27" s="15" t="s">
        <v>111</v>
      </c>
      <c r="K27" s="15" t="s">
        <v>180</v>
      </c>
      <c r="L27" s="15" t="s">
        <v>113</v>
      </c>
      <c r="M27" t="s">
        <v>485</v>
      </c>
    </row>
    <row r="28" spans="1:13" x14ac:dyDescent="0.25">
      <c r="A28" s="6" t="s">
        <v>181</v>
      </c>
      <c r="B28" s="20" t="s">
        <v>182</v>
      </c>
      <c r="C28" s="20" t="s">
        <v>107</v>
      </c>
      <c r="D28" s="6" t="s">
        <v>108</v>
      </c>
      <c r="E28" s="6" t="s">
        <v>109</v>
      </c>
      <c r="F28" s="31">
        <v>36</v>
      </c>
      <c r="G28" s="6" t="s">
        <v>116</v>
      </c>
      <c r="H28" s="31">
        <v>1</v>
      </c>
      <c r="I28" s="31">
        <v>252</v>
      </c>
      <c r="J28" s="20" t="s">
        <v>111</v>
      </c>
      <c r="K28" s="20" t="s">
        <v>183</v>
      </c>
      <c r="L28" s="20" t="s">
        <v>113</v>
      </c>
      <c r="M28" t="s">
        <v>486</v>
      </c>
    </row>
    <row r="29" spans="1:13" x14ac:dyDescent="0.25">
      <c r="A29" s="16" t="s">
        <v>184</v>
      </c>
      <c r="B29" s="15" t="s">
        <v>185</v>
      </c>
      <c r="C29" s="15" t="s">
        <v>107</v>
      </c>
      <c r="D29" s="16" t="s">
        <v>108</v>
      </c>
      <c r="E29" s="16" t="s">
        <v>109</v>
      </c>
      <c r="F29" s="30">
        <v>38</v>
      </c>
      <c r="G29" s="16" t="s">
        <v>110</v>
      </c>
      <c r="H29" s="30">
        <v>2</v>
      </c>
      <c r="I29" s="30">
        <v>260</v>
      </c>
      <c r="J29" s="15" t="s">
        <v>111</v>
      </c>
      <c r="K29" s="15" t="s">
        <v>186</v>
      </c>
      <c r="L29" s="15" t="s">
        <v>113</v>
      </c>
      <c r="M29" t="s">
        <v>487</v>
      </c>
    </row>
    <row r="30" spans="1:13" x14ac:dyDescent="0.25">
      <c r="A30" s="6" t="s">
        <v>187</v>
      </c>
      <c r="B30" s="20" t="s">
        <v>188</v>
      </c>
      <c r="C30" s="20" t="s">
        <v>189</v>
      </c>
      <c r="D30" s="6" t="s">
        <v>190</v>
      </c>
      <c r="E30" s="6" t="s">
        <v>191</v>
      </c>
      <c r="F30" s="31">
        <v>53</v>
      </c>
      <c r="G30" s="6" t="s">
        <v>192</v>
      </c>
      <c r="H30" s="31">
        <v>3</v>
      </c>
      <c r="I30" s="31">
        <v>0</v>
      </c>
      <c r="J30" s="20" t="s">
        <v>111</v>
      </c>
      <c r="K30" s="20" t="s">
        <v>193</v>
      </c>
      <c r="L30" s="20" t="s">
        <v>194</v>
      </c>
      <c r="M30" t="s">
        <v>488</v>
      </c>
    </row>
    <row r="31" spans="1:13" x14ac:dyDescent="0.25">
      <c r="A31" s="16" t="s">
        <v>195</v>
      </c>
      <c r="B31" s="15" t="s">
        <v>196</v>
      </c>
      <c r="C31" s="15" t="s">
        <v>189</v>
      </c>
      <c r="D31" s="16" t="s">
        <v>190</v>
      </c>
      <c r="E31" s="16" t="s">
        <v>191</v>
      </c>
      <c r="F31" s="30">
        <v>56</v>
      </c>
      <c r="G31" s="16" t="s">
        <v>192</v>
      </c>
      <c r="H31" s="30">
        <v>4</v>
      </c>
      <c r="I31" s="30">
        <v>0</v>
      </c>
      <c r="J31" s="15" t="s">
        <v>111</v>
      </c>
      <c r="K31" s="15" t="s">
        <v>197</v>
      </c>
      <c r="L31" s="15" t="s">
        <v>194</v>
      </c>
      <c r="M31" t="s">
        <v>489</v>
      </c>
    </row>
    <row r="32" spans="1:13" x14ac:dyDescent="0.25">
      <c r="A32" s="6" t="s">
        <v>198</v>
      </c>
      <c r="B32" s="20" t="s">
        <v>199</v>
      </c>
      <c r="C32" s="20" t="s">
        <v>189</v>
      </c>
      <c r="D32" s="6" t="s">
        <v>190</v>
      </c>
      <c r="E32" s="6" t="s">
        <v>191</v>
      </c>
      <c r="F32" s="31">
        <v>59</v>
      </c>
      <c r="G32" s="6" t="s">
        <v>192</v>
      </c>
      <c r="H32" s="31">
        <v>2</v>
      </c>
      <c r="I32" s="31">
        <v>0</v>
      </c>
      <c r="J32" s="20" t="s">
        <v>111</v>
      </c>
      <c r="K32" s="20" t="s">
        <v>200</v>
      </c>
      <c r="L32" s="20" t="s">
        <v>194</v>
      </c>
      <c r="M32" t="s">
        <v>490</v>
      </c>
    </row>
    <row r="33" spans="1:13" x14ac:dyDescent="0.25">
      <c r="A33" s="16" t="s">
        <v>201</v>
      </c>
      <c r="B33" s="15" t="s">
        <v>202</v>
      </c>
      <c r="C33" s="15" t="s">
        <v>189</v>
      </c>
      <c r="D33" s="16" t="s">
        <v>190</v>
      </c>
      <c r="E33" s="16" t="s">
        <v>191</v>
      </c>
      <c r="F33" s="30">
        <v>62</v>
      </c>
      <c r="G33" s="16" t="s">
        <v>192</v>
      </c>
      <c r="H33" s="30">
        <v>3</v>
      </c>
      <c r="I33" s="30">
        <v>0</v>
      </c>
      <c r="J33" s="15" t="s">
        <v>111</v>
      </c>
      <c r="K33" s="15" t="s">
        <v>203</v>
      </c>
      <c r="L33" s="15" t="s">
        <v>194</v>
      </c>
      <c r="M33" t="s">
        <v>491</v>
      </c>
    </row>
    <row r="34" spans="1:13" x14ac:dyDescent="0.25">
      <c r="A34" s="6" t="s">
        <v>204</v>
      </c>
      <c r="B34" s="20" t="s">
        <v>205</v>
      </c>
      <c r="C34" s="20" t="s">
        <v>189</v>
      </c>
      <c r="D34" s="6" t="s">
        <v>190</v>
      </c>
      <c r="E34" s="6" t="s">
        <v>191</v>
      </c>
      <c r="F34" s="31">
        <v>65</v>
      </c>
      <c r="G34" s="6" t="s">
        <v>192</v>
      </c>
      <c r="H34" s="31">
        <v>4</v>
      </c>
      <c r="I34" s="31">
        <v>0</v>
      </c>
      <c r="J34" s="20" t="s">
        <v>111</v>
      </c>
      <c r="K34" s="20" t="s">
        <v>206</v>
      </c>
      <c r="L34" s="20" t="s">
        <v>194</v>
      </c>
      <c r="M34" t="s">
        <v>492</v>
      </c>
    </row>
    <row r="35" spans="1:13" x14ac:dyDescent="0.25">
      <c r="A35" s="16" t="s">
        <v>207</v>
      </c>
      <c r="B35" s="15" t="s">
        <v>208</v>
      </c>
      <c r="C35" s="15" t="s">
        <v>189</v>
      </c>
      <c r="D35" s="16" t="s">
        <v>190</v>
      </c>
      <c r="E35" s="16" t="s">
        <v>191</v>
      </c>
      <c r="F35" s="30">
        <v>68</v>
      </c>
      <c r="G35" s="16" t="s">
        <v>192</v>
      </c>
      <c r="H35" s="30">
        <v>2</v>
      </c>
      <c r="I35" s="30">
        <v>0</v>
      </c>
      <c r="J35" s="15" t="s">
        <v>111</v>
      </c>
      <c r="K35" s="15" t="s">
        <v>112</v>
      </c>
      <c r="L35" s="15" t="s">
        <v>194</v>
      </c>
      <c r="M35" t="s">
        <v>493</v>
      </c>
    </row>
    <row r="36" spans="1:13" x14ac:dyDescent="0.25">
      <c r="A36" s="6" t="s">
        <v>209</v>
      </c>
      <c r="B36" s="20" t="s">
        <v>210</v>
      </c>
      <c r="C36" s="20" t="s">
        <v>211</v>
      </c>
      <c r="D36" s="6" t="s">
        <v>212</v>
      </c>
      <c r="E36" s="6" t="s">
        <v>213</v>
      </c>
      <c r="F36" s="31">
        <v>13</v>
      </c>
      <c r="G36" s="6" t="s">
        <v>214</v>
      </c>
      <c r="H36" s="31">
        <v>0</v>
      </c>
      <c r="I36" s="31">
        <v>0</v>
      </c>
      <c r="J36" s="20" t="s">
        <v>215</v>
      </c>
      <c r="K36" s="20" t="s">
        <v>216</v>
      </c>
      <c r="L36" s="20" t="s">
        <v>217</v>
      </c>
      <c r="M36" t="s">
        <v>494</v>
      </c>
    </row>
    <row r="37" spans="1:13" x14ac:dyDescent="0.25">
      <c r="A37" s="16" t="s">
        <v>218</v>
      </c>
      <c r="B37" s="15" t="s">
        <v>219</v>
      </c>
      <c r="C37" s="15" t="s">
        <v>211</v>
      </c>
      <c r="D37" s="16" t="s">
        <v>212</v>
      </c>
      <c r="E37" s="16" t="s">
        <v>213</v>
      </c>
      <c r="F37" s="30">
        <v>14</v>
      </c>
      <c r="G37" s="16" t="s">
        <v>214</v>
      </c>
      <c r="H37" s="30">
        <v>0</v>
      </c>
      <c r="I37" s="30">
        <v>0</v>
      </c>
      <c r="J37" s="15" t="s">
        <v>215</v>
      </c>
      <c r="K37" s="15" t="s">
        <v>220</v>
      </c>
      <c r="L37" s="15" t="s">
        <v>217</v>
      </c>
      <c r="M37" t="s">
        <v>495</v>
      </c>
    </row>
    <row r="38" spans="1:13" x14ac:dyDescent="0.25">
      <c r="A38" s="6" t="s">
        <v>221</v>
      </c>
      <c r="B38" s="20" t="s">
        <v>222</v>
      </c>
      <c r="C38" s="20" t="s">
        <v>211</v>
      </c>
      <c r="D38" s="6" t="s">
        <v>212</v>
      </c>
      <c r="E38" s="6" t="s">
        <v>213</v>
      </c>
      <c r="F38" s="31">
        <v>15</v>
      </c>
      <c r="G38" s="6" t="s">
        <v>214</v>
      </c>
      <c r="H38" s="31">
        <v>0</v>
      </c>
      <c r="I38" s="31">
        <v>0</v>
      </c>
      <c r="J38" s="20" t="s">
        <v>215</v>
      </c>
      <c r="K38" s="20" t="s">
        <v>223</v>
      </c>
      <c r="L38" s="20" t="s">
        <v>217</v>
      </c>
      <c r="M38" t="s">
        <v>496</v>
      </c>
    </row>
    <row r="39" spans="1:13" x14ac:dyDescent="0.25">
      <c r="A39" s="16" t="s">
        <v>224</v>
      </c>
      <c r="B39" s="15" t="s">
        <v>225</v>
      </c>
      <c r="C39" s="15" t="s">
        <v>211</v>
      </c>
      <c r="D39" s="16" t="s">
        <v>212</v>
      </c>
      <c r="E39" s="16" t="s">
        <v>213</v>
      </c>
      <c r="F39" s="30">
        <v>16</v>
      </c>
      <c r="G39" s="16" t="s">
        <v>214</v>
      </c>
      <c r="H39" s="30">
        <v>0</v>
      </c>
      <c r="I39" s="30">
        <v>0</v>
      </c>
      <c r="J39" s="15" t="s">
        <v>215</v>
      </c>
      <c r="K39" s="15" t="s">
        <v>226</v>
      </c>
      <c r="L39" s="15" t="s">
        <v>217</v>
      </c>
      <c r="M39" t="s">
        <v>497</v>
      </c>
    </row>
    <row r="40" spans="1:13" x14ac:dyDescent="0.25">
      <c r="A40" s="6" t="s">
        <v>227</v>
      </c>
      <c r="B40" s="20" t="s">
        <v>228</v>
      </c>
      <c r="C40" s="20" t="s">
        <v>211</v>
      </c>
      <c r="D40" s="6" t="s">
        <v>212</v>
      </c>
      <c r="E40" s="6" t="s">
        <v>213</v>
      </c>
      <c r="F40" s="31">
        <v>17</v>
      </c>
      <c r="G40" s="6" t="s">
        <v>214</v>
      </c>
      <c r="H40" s="31">
        <v>0</v>
      </c>
      <c r="I40" s="31">
        <v>0</v>
      </c>
      <c r="J40" s="20" t="s">
        <v>215</v>
      </c>
      <c r="K40" s="20" t="s">
        <v>229</v>
      </c>
      <c r="L40" s="20" t="s">
        <v>217</v>
      </c>
      <c r="M40" t="s">
        <v>498</v>
      </c>
    </row>
    <row r="41" spans="1:13" x14ac:dyDescent="0.25">
      <c r="A41" s="16" t="s">
        <v>230</v>
      </c>
      <c r="B41" s="15" t="s">
        <v>231</v>
      </c>
      <c r="C41" s="15" t="s">
        <v>211</v>
      </c>
      <c r="D41" s="16" t="s">
        <v>212</v>
      </c>
      <c r="E41" s="16" t="s">
        <v>213</v>
      </c>
      <c r="F41" s="30">
        <v>18</v>
      </c>
      <c r="G41" s="16" t="s">
        <v>214</v>
      </c>
      <c r="H41" s="30">
        <v>0</v>
      </c>
      <c r="I41" s="30">
        <v>0</v>
      </c>
      <c r="J41" s="15" t="s">
        <v>215</v>
      </c>
      <c r="K41" s="15" t="s">
        <v>232</v>
      </c>
      <c r="L41" s="15" t="s">
        <v>217</v>
      </c>
      <c r="M41" t="s">
        <v>499</v>
      </c>
    </row>
    <row r="42" spans="1:13" x14ac:dyDescent="0.25">
      <c r="A42" s="6" t="s">
        <v>233</v>
      </c>
      <c r="B42" s="20" t="s">
        <v>234</v>
      </c>
      <c r="C42" s="20" t="s">
        <v>211</v>
      </c>
      <c r="D42" s="6" t="s">
        <v>212</v>
      </c>
      <c r="E42" s="6" t="s">
        <v>213</v>
      </c>
      <c r="F42" s="31">
        <v>19</v>
      </c>
      <c r="G42" s="6" t="s">
        <v>214</v>
      </c>
      <c r="H42" s="31">
        <v>0</v>
      </c>
      <c r="I42" s="31">
        <v>0</v>
      </c>
      <c r="J42" s="20" t="s">
        <v>215</v>
      </c>
      <c r="K42" s="20" t="s">
        <v>235</v>
      </c>
      <c r="L42" s="20" t="s">
        <v>217</v>
      </c>
      <c r="M42" t="s">
        <v>500</v>
      </c>
    </row>
    <row r="43" spans="1:13" x14ac:dyDescent="0.25">
      <c r="A43" s="16" t="s">
        <v>236</v>
      </c>
      <c r="B43" s="15" t="s">
        <v>237</v>
      </c>
      <c r="C43" s="15" t="s">
        <v>211</v>
      </c>
      <c r="D43" s="16" t="s">
        <v>212</v>
      </c>
      <c r="E43" s="16" t="s">
        <v>213</v>
      </c>
      <c r="F43" s="30">
        <v>20</v>
      </c>
      <c r="G43" s="16" t="s">
        <v>214</v>
      </c>
      <c r="H43" s="30">
        <v>0</v>
      </c>
      <c r="I43" s="30">
        <v>0</v>
      </c>
      <c r="J43" s="15" t="s">
        <v>215</v>
      </c>
      <c r="K43" s="15" t="s">
        <v>238</v>
      </c>
      <c r="L43" s="15" t="s">
        <v>217</v>
      </c>
      <c r="M43" t="s">
        <v>501</v>
      </c>
    </row>
    <row r="44" spans="1:13" x14ac:dyDescent="0.25">
      <c r="A44" s="6" t="s">
        <v>239</v>
      </c>
      <c r="B44" s="20" t="s">
        <v>240</v>
      </c>
      <c r="C44" s="20" t="s">
        <v>211</v>
      </c>
      <c r="D44" s="6" t="s">
        <v>212</v>
      </c>
      <c r="E44" s="6" t="s">
        <v>213</v>
      </c>
      <c r="F44" s="31">
        <v>21</v>
      </c>
      <c r="G44" s="6" t="s">
        <v>214</v>
      </c>
      <c r="H44" s="31">
        <v>0</v>
      </c>
      <c r="I44" s="31">
        <v>0</v>
      </c>
      <c r="J44" s="20" t="s">
        <v>215</v>
      </c>
      <c r="K44" s="20" t="s">
        <v>241</v>
      </c>
      <c r="L44" s="20" t="s">
        <v>217</v>
      </c>
      <c r="M44" t="s">
        <v>502</v>
      </c>
    </row>
    <row r="45" spans="1:13" x14ac:dyDescent="0.25">
      <c r="A45" s="16" t="s">
        <v>242</v>
      </c>
      <c r="B45" s="15" t="s">
        <v>243</v>
      </c>
      <c r="C45" s="15" t="s">
        <v>211</v>
      </c>
      <c r="D45" s="16" t="s">
        <v>212</v>
      </c>
      <c r="E45" s="16" t="s">
        <v>213</v>
      </c>
      <c r="F45" s="30">
        <v>22</v>
      </c>
      <c r="G45" s="16" t="s">
        <v>214</v>
      </c>
      <c r="H45" s="30">
        <v>0</v>
      </c>
      <c r="I45" s="30">
        <v>0</v>
      </c>
      <c r="J45" s="15" t="s">
        <v>215</v>
      </c>
      <c r="K45" s="15" t="s">
        <v>244</v>
      </c>
      <c r="L45" s="15" t="s">
        <v>217</v>
      </c>
      <c r="M45" t="s">
        <v>503</v>
      </c>
    </row>
    <row r="46" spans="1:13" x14ac:dyDescent="0.25">
      <c r="A46" s="6" t="s">
        <v>245</v>
      </c>
      <c r="B46" s="20" t="s">
        <v>246</v>
      </c>
      <c r="C46" s="20" t="s">
        <v>211</v>
      </c>
      <c r="D46" s="6" t="s">
        <v>212</v>
      </c>
      <c r="E46" s="6" t="s">
        <v>213</v>
      </c>
      <c r="F46" s="31">
        <v>23</v>
      </c>
      <c r="G46" s="6" t="s">
        <v>214</v>
      </c>
      <c r="H46" s="31">
        <v>0</v>
      </c>
      <c r="I46" s="31">
        <v>0</v>
      </c>
      <c r="J46" s="20" t="s">
        <v>215</v>
      </c>
      <c r="K46" s="20" t="s">
        <v>247</v>
      </c>
      <c r="L46" s="20" t="s">
        <v>217</v>
      </c>
      <c r="M46" t="s">
        <v>504</v>
      </c>
    </row>
    <row r="47" spans="1:13" x14ac:dyDescent="0.25">
      <c r="A47" s="16" t="s">
        <v>248</v>
      </c>
      <c r="B47" s="15" t="s">
        <v>249</v>
      </c>
      <c r="C47" s="15" t="s">
        <v>211</v>
      </c>
      <c r="D47" s="16" t="s">
        <v>212</v>
      </c>
      <c r="E47" s="16" t="s">
        <v>213</v>
      </c>
      <c r="F47" s="30">
        <v>12</v>
      </c>
      <c r="G47" s="16" t="s">
        <v>214</v>
      </c>
      <c r="H47" s="30">
        <v>0</v>
      </c>
      <c r="I47" s="30">
        <v>0</v>
      </c>
      <c r="J47" s="15" t="s">
        <v>215</v>
      </c>
      <c r="K47" s="15" t="s">
        <v>250</v>
      </c>
      <c r="L47" s="15" t="s">
        <v>217</v>
      </c>
      <c r="M47" t="s">
        <v>505</v>
      </c>
    </row>
    <row r="48" spans="1:13" x14ac:dyDescent="0.25">
      <c r="A48" s="6" t="s">
        <v>251</v>
      </c>
      <c r="B48" s="20" t="s">
        <v>252</v>
      </c>
      <c r="C48" s="20" t="s">
        <v>211</v>
      </c>
      <c r="D48" s="6" t="s">
        <v>212</v>
      </c>
      <c r="E48" s="6" t="s">
        <v>213</v>
      </c>
      <c r="F48" s="31">
        <v>13</v>
      </c>
      <c r="G48" s="6" t="s">
        <v>214</v>
      </c>
      <c r="H48" s="31">
        <v>0</v>
      </c>
      <c r="I48" s="31">
        <v>0</v>
      </c>
      <c r="J48" s="20" t="s">
        <v>215</v>
      </c>
      <c r="K48" s="20" t="s">
        <v>253</v>
      </c>
      <c r="L48" s="20" t="s">
        <v>217</v>
      </c>
      <c r="M48" t="s">
        <v>506</v>
      </c>
    </row>
    <row r="49" spans="1:13" x14ac:dyDescent="0.25">
      <c r="A49" s="16" t="s">
        <v>254</v>
      </c>
      <c r="B49" s="15" t="s">
        <v>255</v>
      </c>
      <c r="C49" s="15" t="s">
        <v>211</v>
      </c>
      <c r="D49" s="16" t="s">
        <v>212</v>
      </c>
      <c r="E49" s="16" t="s">
        <v>213</v>
      </c>
      <c r="F49" s="30">
        <v>14</v>
      </c>
      <c r="G49" s="16" t="s">
        <v>214</v>
      </c>
      <c r="H49" s="30">
        <v>0</v>
      </c>
      <c r="I49" s="30">
        <v>0</v>
      </c>
      <c r="J49" s="15" t="s">
        <v>215</v>
      </c>
      <c r="K49" s="15" t="s">
        <v>256</v>
      </c>
      <c r="L49" s="15" t="s">
        <v>217</v>
      </c>
      <c r="M49" t="s">
        <v>507</v>
      </c>
    </row>
    <row r="50" spans="1:13" x14ac:dyDescent="0.25">
      <c r="A50" s="6" t="s">
        <v>257</v>
      </c>
      <c r="B50" s="20" t="s">
        <v>258</v>
      </c>
      <c r="C50" s="20" t="s">
        <v>211</v>
      </c>
      <c r="D50" s="6" t="s">
        <v>212</v>
      </c>
      <c r="E50" s="6" t="s">
        <v>213</v>
      </c>
      <c r="F50" s="31">
        <v>15</v>
      </c>
      <c r="G50" s="6" t="s">
        <v>214</v>
      </c>
      <c r="H50" s="31">
        <v>0</v>
      </c>
      <c r="I50" s="31">
        <v>0</v>
      </c>
      <c r="J50" s="20" t="s">
        <v>215</v>
      </c>
      <c r="K50" s="20" t="s">
        <v>259</v>
      </c>
      <c r="L50" s="20" t="s">
        <v>217</v>
      </c>
      <c r="M50" t="s">
        <v>508</v>
      </c>
    </row>
    <row r="51" spans="1:13" x14ac:dyDescent="0.25">
      <c r="A51" s="16" t="s">
        <v>260</v>
      </c>
      <c r="B51" s="15" t="s">
        <v>261</v>
      </c>
      <c r="C51" s="15" t="s">
        <v>211</v>
      </c>
      <c r="D51" s="16" t="s">
        <v>212</v>
      </c>
      <c r="E51" s="16" t="s">
        <v>213</v>
      </c>
      <c r="F51" s="30">
        <v>16</v>
      </c>
      <c r="G51" s="16" t="s">
        <v>214</v>
      </c>
      <c r="H51" s="30">
        <v>0</v>
      </c>
      <c r="I51" s="30">
        <v>0</v>
      </c>
      <c r="J51" s="15" t="s">
        <v>215</v>
      </c>
      <c r="K51" s="15" t="s">
        <v>262</v>
      </c>
      <c r="L51" s="15" t="s">
        <v>217</v>
      </c>
      <c r="M51" t="s">
        <v>509</v>
      </c>
    </row>
    <row r="52" spans="1:13" x14ac:dyDescent="0.25">
      <c r="A52" s="6" t="s">
        <v>263</v>
      </c>
      <c r="B52" s="20" t="s">
        <v>264</v>
      </c>
      <c r="C52" s="20" t="s">
        <v>211</v>
      </c>
      <c r="D52" s="6" t="s">
        <v>212</v>
      </c>
      <c r="E52" s="6" t="s">
        <v>213</v>
      </c>
      <c r="F52" s="31">
        <v>17</v>
      </c>
      <c r="G52" s="6" t="s">
        <v>214</v>
      </c>
      <c r="H52" s="31">
        <v>0</v>
      </c>
      <c r="I52" s="31">
        <v>0</v>
      </c>
      <c r="J52" s="20" t="s">
        <v>215</v>
      </c>
      <c r="K52" s="20" t="s">
        <v>265</v>
      </c>
      <c r="L52" s="20" t="s">
        <v>217</v>
      </c>
      <c r="M52" t="s">
        <v>510</v>
      </c>
    </row>
    <row r="53" spans="1:13" x14ac:dyDescent="0.25">
      <c r="A53" s="16" t="s">
        <v>266</v>
      </c>
      <c r="B53" s="15" t="s">
        <v>267</v>
      </c>
      <c r="C53" s="15" t="s">
        <v>211</v>
      </c>
      <c r="D53" s="16" t="s">
        <v>212</v>
      </c>
      <c r="E53" s="16" t="s">
        <v>213</v>
      </c>
      <c r="F53" s="30">
        <v>18</v>
      </c>
      <c r="G53" s="16" t="s">
        <v>214</v>
      </c>
      <c r="H53" s="30">
        <v>0</v>
      </c>
      <c r="I53" s="30">
        <v>0</v>
      </c>
      <c r="J53" s="15" t="s">
        <v>215</v>
      </c>
      <c r="K53" s="15" t="s">
        <v>268</v>
      </c>
      <c r="L53" s="15" t="s">
        <v>217</v>
      </c>
      <c r="M53" t="s">
        <v>511</v>
      </c>
    </row>
    <row r="54" spans="1:13" x14ac:dyDescent="0.25">
      <c r="A54" s="6" t="s">
        <v>269</v>
      </c>
      <c r="B54" s="20" t="s">
        <v>270</v>
      </c>
      <c r="C54" s="20" t="s">
        <v>271</v>
      </c>
      <c r="D54" s="6" t="s">
        <v>272</v>
      </c>
      <c r="E54" s="6" t="s">
        <v>273</v>
      </c>
      <c r="F54" s="31">
        <v>3</v>
      </c>
      <c r="G54" s="6" t="s">
        <v>274</v>
      </c>
      <c r="H54" s="31">
        <v>0</v>
      </c>
      <c r="I54" s="31">
        <v>0</v>
      </c>
      <c r="J54" s="20" t="s">
        <v>111</v>
      </c>
      <c r="K54" s="20" t="s">
        <v>216</v>
      </c>
      <c r="L54" s="20" t="s">
        <v>275</v>
      </c>
      <c r="M54" t="s">
        <v>512</v>
      </c>
    </row>
    <row r="55" spans="1:13" x14ac:dyDescent="0.25">
      <c r="A55" s="16" t="s">
        <v>276</v>
      </c>
      <c r="B55" s="15" t="s">
        <v>277</v>
      </c>
      <c r="C55" s="15" t="s">
        <v>271</v>
      </c>
      <c r="D55" s="16" t="s">
        <v>272</v>
      </c>
      <c r="E55" s="16" t="s">
        <v>273</v>
      </c>
      <c r="F55" s="30">
        <v>4</v>
      </c>
      <c r="G55" s="16" t="s">
        <v>274</v>
      </c>
      <c r="H55" s="30">
        <v>0</v>
      </c>
      <c r="I55" s="30">
        <v>0</v>
      </c>
      <c r="J55" s="15" t="s">
        <v>111</v>
      </c>
      <c r="K55" s="15" t="s">
        <v>220</v>
      </c>
      <c r="L55" s="15" t="s">
        <v>275</v>
      </c>
      <c r="M55" t="s">
        <v>513</v>
      </c>
    </row>
    <row r="56" spans="1:13" x14ac:dyDescent="0.25">
      <c r="A56" s="6" t="s">
        <v>278</v>
      </c>
      <c r="B56" s="20" t="s">
        <v>279</v>
      </c>
      <c r="C56" s="20" t="s">
        <v>271</v>
      </c>
      <c r="D56" s="6" t="s">
        <v>272</v>
      </c>
      <c r="E56" s="6" t="s">
        <v>273</v>
      </c>
      <c r="F56" s="31">
        <v>5</v>
      </c>
      <c r="G56" s="6" t="s">
        <v>274</v>
      </c>
      <c r="H56" s="31">
        <v>0</v>
      </c>
      <c r="I56" s="31">
        <v>0</v>
      </c>
      <c r="J56" s="20" t="s">
        <v>111</v>
      </c>
      <c r="K56" s="20" t="s">
        <v>223</v>
      </c>
      <c r="L56" s="20" t="s">
        <v>275</v>
      </c>
      <c r="M56" t="s">
        <v>514</v>
      </c>
    </row>
    <row r="57" spans="1:13" x14ac:dyDescent="0.25">
      <c r="A57" s="16" t="s">
        <v>280</v>
      </c>
      <c r="B57" s="15" t="s">
        <v>281</v>
      </c>
      <c r="C57" s="15" t="s">
        <v>271</v>
      </c>
      <c r="D57" s="16" t="s">
        <v>272</v>
      </c>
      <c r="E57" s="16" t="s">
        <v>273</v>
      </c>
      <c r="F57" s="30">
        <v>6</v>
      </c>
      <c r="G57" s="16" t="s">
        <v>274</v>
      </c>
      <c r="H57" s="30">
        <v>0</v>
      </c>
      <c r="I57" s="30">
        <v>0</v>
      </c>
      <c r="J57" s="15" t="s">
        <v>111</v>
      </c>
      <c r="K57" s="15" t="s">
        <v>226</v>
      </c>
      <c r="L57" s="15" t="s">
        <v>275</v>
      </c>
      <c r="M57" t="s">
        <v>515</v>
      </c>
    </row>
    <row r="58" spans="1:13" x14ac:dyDescent="0.25">
      <c r="A58" s="6" t="s">
        <v>282</v>
      </c>
      <c r="B58" s="20" t="s">
        <v>283</v>
      </c>
      <c r="C58" s="20" t="s">
        <v>271</v>
      </c>
      <c r="D58" s="6" t="s">
        <v>272</v>
      </c>
      <c r="E58" s="6" t="s">
        <v>273</v>
      </c>
      <c r="F58" s="31">
        <v>7</v>
      </c>
      <c r="G58" s="6" t="s">
        <v>274</v>
      </c>
      <c r="H58" s="31">
        <v>0</v>
      </c>
      <c r="I58" s="31">
        <v>0</v>
      </c>
      <c r="J58" s="20" t="s">
        <v>111</v>
      </c>
      <c r="K58" s="20" t="s">
        <v>229</v>
      </c>
      <c r="L58" s="20" t="s">
        <v>275</v>
      </c>
      <c r="M58" t="s">
        <v>516</v>
      </c>
    </row>
    <row r="59" spans="1:13" x14ac:dyDescent="0.25">
      <c r="A59" s="16" t="s">
        <v>284</v>
      </c>
      <c r="B59" s="15" t="s">
        <v>285</v>
      </c>
      <c r="C59" s="15" t="s">
        <v>271</v>
      </c>
      <c r="D59" s="16" t="s">
        <v>272</v>
      </c>
      <c r="E59" s="16" t="s">
        <v>273</v>
      </c>
      <c r="F59" s="30">
        <v>8</v>
      </c>
      <c r="G59" s="16" t="s">
        <v>274</v>
      </c>
      <c r="H59" s="30">
        <v>0</v>
      </c>
      <c r="I59" s="30">
        <v>0</v>
      </c>
      <c r="J59" s="15" t="s">
        <v>111</v>
      </c>
      <c r="K59" s="15" t="s">
        <v>232</v>
      </c>
      <c r="L59" s="15" t="s">
        <v>275</v>
      </c>
      <c r="M59" t="s">
        <v>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9"/>
  <sheetViews>
    <sheetView workbookViewId="0"/>
  </sheetViews>
  <sheetFormatPr baseColWidth="10" defaultColWidth="9.140625" defaultRowHeight="15" x14ac:dyDescent="0.25"/>
  <cols>
    <col min="1" max="1" width="97" customWidth="1"/>
    <col min="2" max="2" width="17" customWidth="1"/>
    <col min="3" max="5" width="15" customWidth="1"/>
    <col min="6" max="6" width="16" customWidth="1"/>
    <col min="7" max="7" width="45" customWidth="1"/>
    <col min="8" max="15" width="15" customWidth="1"/>
  </cols>
  <sheetData>
    <row r="1" spans="1:15" ht="21" x14ac:dyDescent="0.35">
      <c r="A1" s="1" t="s">
        <v>286</v>
      </c>
    </row>
    <row r="2" spans="1:15" x14ac:dyDescent="0.25">
      <c r="A2" s="2" t="s">
        <v>287</v>
      </c>
    </row>
    <row r="4" spans="1:15" x14ac:dyDescent="0.25">
      <c r="A4" s="48" t="s">
        <v>288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1:15" x14ac:dyDescent="0.25">
      <c r="A5" s="29" t="s">
        <v>289</v>
      </c>
      <c r="B5" s="29" t="s">
        <v>290</v>
      </c>
      <c r="C5" s="29" t="s">
        <v>291</v>
      </c>
      <c r="D5" s="29" t="s">
        <v>292</v>
      </c>
      <c r="E5" s="29" t="s">
        <v>293</v>
      </c>
      <c r="F5" s="29" t="s">
        <v>294</v>
      </c>
      <c r="G5" s="29" t="s">
        <v>295</v>
      </c>
      <c r="H5" s="29" t="s">
        <v>296</v>
      </c>
      <c r="I5" s="29" t="s">
        <v>297</v>
      </c>
      <c r="J5" s="29" t="s">
        <v>298</v>
      </c>
      <c r="K5" s="29" t="s">
        <v>299</v>
      </c>
      <c r="L5" s="29" t="s">
        <v>300</v>
      </c>
      <c r="M5" s="29" t="s">
        <v>301</v>
      </c>
      <c r="N5" s="29" t="s">
        <v>302</v>
      </c>
      <c r="O5" s="29" t="s">
        <v>303</v>
      </c>
    </row>
    <row r="6" spans="1:15" x14ac:dyDescent="0.25">
      <c r="A6" s="32" t="s">
        <v>105</v>
      </c>
      <c r="B6" s="33" t="s">
        <v>216</v>
      </c>
      <c r="C6" s="34">
        <v>24.4</v>
      </c>
      <c r="D6" s="34">
        <v>25.2</v>
      </c>
      <c r="E6" s="34">
        <v>26</v>
      </c>
      <c r="F6" s="34">
        <v>24.4</v>
      </c>
      <c r="G6" s="34">
        <v>25.2</v>
      </c>
      <c r="H6" s="34">
        <v>26</v>
      </c>
      <c r="I6" s="34">
        <v>24.4</v>
      </c>
      <c r="J6" s="34">
        <v>25.2</v>
      </c>
      <c r="K6" s="34">
        <v>26</v>
      </c>
      <c r="L6" s="34">
        <v>24.4</v>
      </c>
      <c r="M6" s="34">
        <v>25.2</v>
      </c>
      <c r="N6" s="34">
        <v>26</v>
      </c>
      <c r="O6" s="8">
        <f t="shared" ref="O6:O30" si="0">AVERAGE(C6:N6)</f>
        <v>25.2</v>
      </c>
    </row>
    <row r="7" spans="1:15" x14ac:dyDescent="0.25">
      <c r="A7" s="32" t="s">
        <v>114</v>
      </c>
      <c r="B7" s="33" t="s">
        <v>220</v>
      </c>
      <c r="C7" s="34">
        <v>25.6</v>
      </c>
      <c r="D7" s="34">
        <v>26.4</v>
      </c>
      <c r="E7" s="34">
        <v>27.2</v>
      </c>
      <c r="F7" s="34">
        <v>25.6</v>
      </c>
      <c r="G7" s="34">
        <v>26.4</v>
      </c>
      <c r="H7" s="34">
        <v>27.2</v>
      </c>
      <c r="I7" s="34">
        <v>25.6</v>
      </c>
      <c r="J7" s="34">
        <v>26.4</v>
      </c>
      <c r="K7" s="34">
        <v>27.2</v>
      </c>
      <c r="L7" s="34">
        <v>25.6</v>
      </c>
      <c r="M7" s="34">
        <v>26.4</v>
      </c>
      <c r="N7" s="34">
        <v>27.2</v>
      </c>
      <c r="O7" s="8">
        <f t="shared" si="0"/>
        <v>26.399999999999995</v>
      </c>
    </row>
    <row r="8" spans="1:15" x14ac:dyDescent="0.25">
      <c r="A8" s="32" t="s">
        <v>118</v>
      </c>
      <c r="B8" s="33" t="s">
        <v>223</v>
      </c>
      <c r="C8" s="34">
        <v>26.8</v>
      </c>
      <c r="D8" s="34">
        <v>27.6</v>
      </c>
      <c r="E8" s="34">
        <v>28.4</v>
      </c>
      <c r="F8" s="34">
        <v>26.8</v>
      </c>
      <c r="G8" s="34">
        <v>27.6</v>
      </c>
      <c r="H8" s="34">
        <v>28.4</v>
      </c>
      <c r="I8" s="34">
        <v>26.8</v>
      </c>
      <c r="J8" s="34">
        <v>27.6</v>
      </c>
      <c r="K8" s="34">
        <v>28.4</v>
      </c>
      <c r="L8" s="34">
        <v>26.8</v>
      </c>
      <c r="M8" s="34">
        <v>27.6</v>
      </c>
      <c r="N8" s="34">
        <v>28.4</v>
      </c>
      <c r="O8" s="8">
        <f t="shared" si="0"/>
        <v>27.600000000000005</v>
      </c>
    </row>
    <row r="9" spans="1:15" x14ac:dyDescent="0.25">
      <c r="A9" s="32" t="s">
        <v>121</v>
      </c>
      <c r="B9" s="33" t="s">
        <v>226</v>
      </c>
      <c r="C9" s="34">
        <v>28</v>
      </c>
      <c r="D9" s="34">
        <v>28.8</v>
      </c>
      <c r="E9" s="34">
        <v>29.6</v>
      </c>
      <c r="F9" s="34">
        <v>28</v>
      </c>
      <c r="G9" s="34">
        <v>28.8</v>
      </c>
      <c r="H9" s="34">
        <v>29.6</v>
      </c>
      <c r="I9" s="34">
        <v>28</v>
      </c>
      <c r="J9" s="34">
        <v>28.8</v>
      </c>
      <c r="K9" s="34">
        <v>29.6</v>
      </c>
      <c r="L9" s="34">
        <v>28</v>
      </c>
      <c r="M9" s="34">
        <v>28.8</v>
      </c>
      <c r="N9" s="34">
        <v>29.6</v>
      </c>
      <c r="O9" s="8">
        <f t="shared" si="0"/>
        <v>28.800000000000008</v>
      </c>
    </row>
    <row r="10" spans="1:15" x14ac:dyDescent="0.25">
      <c r="A10" s="32" t="s">
        <v>124</v>
      </c>
      <c r="B10" s="33" t="s">
        <v>229</v>
      </c>
      <c r="C10" s="34">
        <v>29.2</v>
      </c>
      <c r="D10" s="34">
        <v>30</v>
      </c>
      <c r="E10" s="34">
        <v>30.8</v>
      </c>
      <c r="F10" s="34">
        <v>29.2</v>
      </c>
      <c r="G10" s="34">
        <v>30</v>
      </c>
      <c r="H10" s="34">
        <v>30.8</v>
      </c>
      <c r="I10" s="34">
        <v>29.2</v>
      </c>
      <c r="J10" s="34">
        <v>30</v>
      </c>
      <c r="K10" s="34">
        <v>30.8</v>
      </c>
      <c r="L10" s="34">
        <v>29.2</v>
      </c>
      <c r="M10" s="34">
        <v>30</v>
      </c>
      <c r="N10" s="34">
        <v>30.8</v>
      </c>
      <c r="O10" s="8">
        <f t="shared" si="0"/>
        <v>30</v>
      </c>
    </row>
    <row r="11" spans="1:15" x14ac:dyDescent="0.25">
      <c r="A11" s="32" t="s">
        <v>127</v>
      </c>
      <c r="B11" s="33" t="s">
        <v>232</v>
      </c>
      <c r="C11" s="34">
        <v>30.4</v>
      </c>
      <c r="D11" s="34">
        <v>31.2</v>
      </c>
      <c r="E11" s="34">
        <v>32</v>
      </c>
      <c r="F11" s="34">
        <v>30.4</v>
      </c>
      <c r="G11" s="34">
        <v>31.2</v>
      </c>
      <c r="H11" s="34">
        <v>32</v>
      </c>
      <c r="I11" s="34">
        <v>30.4</v>
      </c>
      <c r="J11" s="34">
        <v>31.2</v>
      </c>
      <c r="K11" s="34">
        <v>32</v>
      </c>
      <c r="L11" s="34">
        <v>30.4</v>
      </c>
      <c r="M11" s="34">
        <v>31.2</v>
      </c>
      <c r="N11" s="34">
        <v>32</v>
      </c>
      <c r="O11" s="8">
        <f t="shared" si="0"/>
        <v>31.199999999999992</v>
      </c>
    </row>
    <row r="12" spans="1:15" x14ac:dyDescent="0.25">
      <c r="A12" s="32" t="s">
        <v>130</v>
      </c>
      <c r="B12" s="33" t="s">
        <v>235</v>
      </c>
      <c r="C12" s="34">
        <v>23.2</v>
      </c>
      <c r="D12" s="34">
        <v>24</v>
      </c>
      <c r="E12" s="34">
        <v>24.8</v>
      </c>
      <c r="F12" s="34">
        <v>23.2</v>
      </c>
      <c r="G12" s="34">
        <v>24</v>
      </c>
      <c r="H12" s="34">
        <v>24.8</v>
      </c>
      <c r="I12" s="34">
        <v>23.2</v>
      </c>
      <c r="J12" s="34">
        <v>24</v>
      </c>
      <c r="K12" s="34">
        <v>24.8</v>
      </c>
      <c r="L12" s="34">
        <v>23.2</v>
      </c>
      <c r="M12" s="34">
        <v>24</v>
      </c>
      <c r="N12" s="34">
        <v>24.8</v>
      </c>
      <c r="O12" s="8">
        <f t="shared" si="0"/>
        <v>24</v>
      </c>
    </row>
    <row r="13" spans="1:15" x14ac:dyDescent="0.25">
      <c r="A13" s="32" t="s">
        <v>133</v>
      </c>
      <c r="B13" s="33" t="s">
        <v>238</v>
      </c>
      <c r="C13" s="34">
        <v>24.4</v>
      </c>
      <c r="D13" s="34">
        <v>25.2</v>
      </c>
      <c r="E13" s="34">
        <v>26</v>
      </c>
      <c r="F13" s="34">
        <v>24.4</v>
      </c>
      <c r="G13" s="34">
        <v>25.2</v>
      </c>
      <c r="H13" s="34">
        <v>26</v>
      </c>
      <c r="I13" s="34">
        <v>24.4</v>
      </c>
      <c r="J13" s="34">
        <v>25.2</v>
      </c>
      <c r="K13" s="34">
        <v>26</v>
      </c>
      <c r="L13" s="34">
        <v>24.4</v>
      </c>
      <c r="M13" s="34">
        <v>25.2</v>
      </c>
      <c r="N13" s="34">
        <v>26</v>
      </c>
      <c r="O13" s="8">
        <f t="shared" si="0"/>
        <v>25.2</v>
      </c>
    </row>
    <row r="14" spans="1:15" x14ac:dyDescent="0.25">
      <c r="A14" s="32" t="s">
        <v>136</v>
      </c>
      <c r="B14" s="33" t="s">
        <v>241</v>
      </c>
      <c r="C14" s="34">
        <v>25.6</v>
      </c>
      <c r="D14" s="34">
        <v>26.4</v>
      </c>
      <c r="E14" s="34">
        <v>27.2</v>
      </c>
      <c r="F14" s="34">
        <v>25.6</v>
      </c>
      <c r="G14" s="34">
        <v>26.4</v>
      </c>
      <c r="H14" s="34">
        <v>27.2</v>
      </c>
      <c r="I14" s="34">
        <v>25.6</v>
      </c>
      <c r="J14" s="34">
        <v>26.4</v>
      </c>
      <c r="K14" s="34">
        <v>27.2</v>
      </c>
      <c r="L14" s="34">
        <v>25.6</v>
      </c>
      <c r="M14" s="34">
        <v>26.4</v>
      </c>
      <c r="N14" s="34">
        <v>27.2</v>
      </c>
      <c r="O14" s="8">
        <f t="shared" si="0"/>
        <v>26.399999999999995</v>
      </c>
    </row>
    <row r="15" spans="1:15" x14ac:dyDescent="0.25">
      <c r="A15" s="32" t="s">
        <v>139</v>
      </c>
      <c r="B15" s="33" t="s">
        <v>244</v>
      </c>
      <c r="C15" s="34">
        <v>26.8</v>
      </c>
      <c r="D15" s="34">
        <v>27.6</v>
      </c>
      <c r="E15" s="34">
        <v>28.4</v>
      </c>
      <c r="F15" s="34">
        <v>26.8</v>
      </c>
      <c r="G15" s="34">
        <v>27.6</v>
      </c>
      <c r="H15" s="34">
        <v>28.4</v>
      </c>
      <c r="I15" s="34">
        <v>26.8</v>
      </c>
      <c r="J15" s="34">
        <v>27.6</v>
      </c>
      <c r="K15" s="34">
        <v>28.4</v>
      </c>
      <c r="L15" s="34">
        <v>26.8</v>
      </c>
      <c r="M15" s="34">
        <v>27.6</v>
      </c>
      <c r="N15" s="34">
        <v>28.4</v>
      </c>
      <c r="O15" s="8">
        <f t="shared" si="0"/>
        <v>27.600000000000005</v>
      </c>
    </row>
    <row r="16" spans="1:15" x14ac:dyDescent="0.25">
      <c r="A16" s="32" t="s">
        <v>142</v>
      </c>
      <c r="B16" s="33" t="s">
        <v>247</v>
      </c>
      <c r="C16" s="34">
        <v>28</v>
      </c>
      <c r="D16" s="34">
        <v>28.8</v>
      </c>
      <c r="E16" s="34">
        <v>29.6</v>
      </c>
      <c r="F16" s="34">
        <v>28</v>
      </c>
      <c r="G16" s="34">
        <v>28.8</v>
      </c>
      <c r="H16" s="34">
        <v>29.6</v>
      </c>
      <c r="I16" s="34">
        <v>28</v>
      </c>
      <c r="J16" s="34">
        <v>28.8</v>
      </c>
      <c r="K16" s="34">
        <v>29.6</v>
      </c>
      <c r="L16" s="34">
        <v>28</v>
      </c>
      <c r="M16" s="34">
        <v>28.8</v>
      </c>
      <c r="N16" s="34">
        <v>29.6</v>
      </c>
      <c r="O16" s="8">
        <f t="shared" si="0"/>
        <v>28.800000000000008</v>
      </c>
    </row>
    <row r="17" spans="1:15" x14ac:dyDescent="0.25">
      <c r="A17" s="32" t="s">
        <v>145</v>
      </c>
      <c r="B17" s="33" t="s">
        <v>250</v>
      </c>
      <c r="C17" s="34">
        <v>29.2</v>
      </c>
      <c r="D17" s="34">
        <v>30</v>
      </c>
      <c r="E17" s="34">
        <v>30.8</v>
      </c>
      <c r="F17" s="34">
        <v>29.2</v>
      </c>
      <c r="G17" s="34">
        <v>30</v>
      </c>
      <c r="H17" s="34">
        <v>30.8</v>
      </c>
      <c r="I17" s="34">
        <v>29.2</v>
      </c>
      <c r="J17" s="34">
        <v>30</v>
      </c>
      <c r="K17" s="34">
        <v>30.8</v>
      </c>
      <c r="L17" s="34">
        <v>29.2</v>
      </c>
      <c r="M17" s="34">
        <v>30</v>
      </c>
      <c r="N17" s="34">
        <v>30.8</v>
      </c>
      <c r="O17" s="8">
        <f t="shared" si="0"/>
        <v>30</v>
      </c>
    </row>
    <row r="18" spans="1:15" x14ac:dyDescent="0.25">
      <c r="A18" s="32" t="s">
        <v>148</v>
      </c>
      <c r="B18" s="33" t="s">
        <v>253</v>
      </c>
      <c r="C18" s="34">
        <v>30.4</v>
      </c>
      <c r="D18" s="34">
        <v>31.2</v>
      </c>
      <c r="E18" s="34">
        <v>32</v>
      </c>
      <c r="F18" s="34">
        <v>30.4</v>
      </c>
      <c r="G18" s="34">
        <v>31.2</v>
      </c>
      <c r="H18" s="34">
        <v>32</v>
      </c>
      <c r="I18" s="34">
        <v>30.4</v>
      </c>
      <c r="J18" s="34">
        <v>31.2</v>
      </c>
      <c r="K18" s="34">
        <v>32</v>
      </c>
      <c r="L18" s="34">
        <v>30.4</v>
      </c>
      <c r="M18" s="34">
        <v>31.2</v>
      </c>
      <c r="N18" s="34">
        <v>32</v>
      </c>
      <c r="O18" s="8">
        <f t="shared" si="0"/>
        <v>31.199999999999992</v>
      </c>
    </row>
    <row r="19" spans="1:15" x14ac:dyDescent="0.25">
      <c r="A19" s="32" t="s">
        <v>151</v>
      </c>
      <c r="B19" s="33" t="s">
        <v>256</v>
      </c>
      <c r="C19" s="34">
        <v>23.2</v>
      </c>
      <c r="D19" s="34">
        <v>24</v>
      </c>
      <c r="E19" s="34">
        <v>24.8</v>
      </c>
      <c r="F19" s="34">
        <v>23.2</v>
      </c>
      <c r="G19" s="34">
        <v>24</v>
      </c>
      <c r="H19" s="34">
        <v>24.8</v>
      </c>
      <c r="I19" s="34">
        <v>23.2</v>
      </c>
      <c r="J19" s="34">
        <v>24</v>
      </c>
      <c r="K19" s="34">
        <v>24.8</v>
      </c>
      <c r="L19" s="34">
        <v>23.2</v>
      </c>
      <c r="M19" s="34">
        <v>24</v>
      </c>
      <c r="N19" s="34">
        <v>24.8</v>
      </c>
      <c r="O19" s="8">
        <f t="shared" si="0"/>
        <v>24</v>
      </c>
    </row>
    <row r="20" spans="1:15" x14ac:dyDescent="0.25">
      <c r="A20" s="32" t="s">
        <v>154</v>
      </c>
      <c r="B20" s="33" t="s">
        <v>259</v>
      </c>
      <c r="C20" s="34">
        <v>24.4</v>
      </c>
      <c r="D20" s="34">
        <v>25.2</v>
      </c>
      <c r="E20" s="34">
        <v>26</v>
      </c>
      <c r="F20" s="34">
        <v>24.4</v>
      </c>
      <c r="G20" s="34">
        <v>25.2</v>
      </c>
      <c r="H20" s="34">
        <v>26</v>
      </c>
      <c r="I20" s="34">
        <v>24.4</v>
      </c>
      <c r="J20" s="34">
        <v>25.2</v>
      </c>
      <c r="K20" s="34">
        <v>26</v>
      </c>
      <c r="L20" s="34">
        <v>24.4</v>
      </c>
      <c r="M20" s="34">
        <v>25.2</v>
      </c>
      <c r="N20" s="34">
        <v>26</v>
      </c>
      <c r="O20" s="8">
        <f t="shared" si="0"/>
        <v>25.2</v>
      </c>
    </row>
    <row r="21" spans="1:15" x14ac:dyDescent="0.25">
      <c r="A21" s="32" t="s">
        <v>157</v>
      </c>
      <c r="B21" s="33" t="s">
        <v>262</v>
      </c>
      <c r="C21" s="34">
        <v>25.6</v>
      </c>
      <c r="D21" s="34">
        <v>26.4</v>
      </c>
      <c r="E21" s="34">
        <v>27.2</v>
      </c>
      <c r="F21" s="34">
        <v>25.6</v>
      </c>
      <c r="G21" s="34">
        <v>26.4</v>
      </c>
      <c r="H21" s="34">
        <v>27.2</v>
      </c>
      <c r="I21" s="34">
        <v>25.6</v>
      </c>
      <c r="J21" s="34">
        <v>26.4</v>
      </c>
      <c r="K21" s="34">
        <v>27.2</v>
      </c>
      <c r="L21" s="34">
        <v>25.6</v>
      </c>
      <c r="M21" s="34">
        <v>26.4</v>
      </c>
      <c r="N21" s="34">
        <v>27.2</v>
      </c>
      <c r="O21" s="8">
        <f t="shared" si="0"/>
        <v>26.399999999999995</v>
      </c>
    </row>
    <row r="22" spans="1:15" x14ac:dyDescent="0.25">
      <c r="A22" s="32" t="s">
        <v>160</v>
      </c>
      <c r="B22" s="33" t="s">
        <v>265</v>
      </c>
      <c r="C22" s="34">
        <v>26.8</v>
      </c>
      <c r="D22" s="34">
        <v>27.6</v>
      </c>
      <c r="E22" s="34">
        <v>28.4</v>
      </c>
      <c r="F22" s="34">
        <v>26.8</v>
      </c>
      <c r="G22" s="34">
        <v>27.6</v>
      </c>
      <c r="H22" s="34">
        <v>28.4</v>
      </c>
      <c r="I22" s="34">
        <v>26.8</v>
      </c>
      <c r="J22" s="34">
        <v>27.6</v>
      </c>
      <c r="K22" s="34">
        <v>28.4</v>
      </c>
      <c r="L22" s="34">
        <v>26.8</v>
      </c>
      <c r="M22" s="34">
        <v>27.6</v>
      </c>
      <c r="N22" s="34">
        <v>28.4</v>
      </c>
      <c r="O22" s="8">
        <f t="shared" si="0"/>
        <v>27.600000000000005</v>
      </c>
    </row>
    <row r="23" spans="1:15" x14ac:dyDescent="0.25">
      <c r="A23" s="32" t="s">
        <v>163</v>
      </c>
      <c r="B23" s="33" t="s">
        <v>268</v>
      </c>
      <c r="C23" s="34">
        <v>28</v>
      </c>
      <c r="D23" s="34">
        <v>28.8</v>
      </c>
      <c r="E23" s="34">
        <v>29.6</v>
      </c>
      <c r="F23" s="34">
        <v>28</v>
      </c>
      <c r="G23" s="34">
        <v>28.8</v>
      </c>
      <c r="H23" s="34">
        <v>29.6</v>
      </c>
      <c r="I23" s="34">
        <v>28</v>
      </c>
      <c r="J23" s="34">
        <v>28.8</v>
      </c>
      <c r="K23" s="34">
        <v>29.6</v>
      </c>
      <c r="L23" s="34">
        <v>28</v>
      </c>
      <c r="M23" s="34">
        <v>28.8</v>
      </c>
      <c r="N23" s="34">
        <v>29.6</v>
      </c>
      <c r="O23" s="8">
        <f t="shared" si="0"/>
        <v>28.800000000000008</v>
      </c>
    </row>
    <row r="24" spans="1:15" x14ac:dyDescent="0.25">
      <c r="A24" s="32" t="s">
        <v>166</v>
      </c>
      <c r="B24" s="33" t="s">
        <v>304</v>
      </c>
      <c r="C24" s="34">
        <v>29.2</v>
      </c>
      <c r="D24" s="34">
        <v>30</v>
      </c>
      <c r="E24" s="34">
        <v>30.8</v>
      </c>
      <c r="F24" s="34">
        <v>29.2</v>
      </c>
      <c r="G24" s="34">
        <v>30</v>
      </c>
      <c r="H24" s="34">
        <v>30.8</v>
      </c>
      <c r="I24" s="34">
        <v>29.2</v>
      </c>
      <c r="J24" s="34">
        <v>30</v>
      </c>
      <c r="K24" s="34">
        <v>30.8</v>
      </c>
      <c r="L24" s="34">
        <v>29.2</v>
      </c>
      <c r="M24" s="34">
        <v>30</v>
      </c>
      <c r="N24" s="34">
        <v>30.8</v>
      </c>
      <c r="O24" s="8">
        <f t="shared" si="0"/>
        <v>30</v>
      </c>
    </row>
    <row r="25" spans="1:15" x14ac:dyDescent="0.25">
      <c r="A25" s="32" t="s">
        <v>169</v>
      </c>
      <c r="B25" s="33" t="s">
        <v>305</v>
      </c>
      <c r="C25" s="34">
        <v>30.4</v>
      </c>
      <c r="D25" s="34">
        <v>31.2</v>
      </c>
      <c r="E25" s="34">
        <v>32</v>
      </c>
      <c r="F25" s="34">
        <v>30.4</v>
      </c>
      <c r="G25" s="34">
        <v>31.2</v>
      </c>
      <c r="H25" s="34">
        <v>32</v>
      </c>
      <c r="I25" s="34">
        <v>30.4</v>
      </c>
      <c r="J25" s="34">
        <v>31.2</v>
      </c>
      <c r="K25" s="34">
        <v>32</v>
      </c>
      <c r="L25" s="34">
        <v>30.4</v>
      </c>
      <c r="M25" s="34">
        <v>31.2</v>
      </c>
      <c r="N25" s="34">
        <v>32</v>
      </c>
      <c r="O25" s="8">
        <f t="shared" si="0"/>
        <v>31.199999999999992</v>
      </c>
    </row>
    <row r="26" spans="1:15" x14ac:dyDescent="0.25">
      <c r="A26" s="32" t="s">
        <v>172</v>
      </c>
      <c r="B26" s="33" t="s">
        <v>306</v>
      </c>
      <c r="C26" s="34">
        <v>23.2</v>
      </c>
      <c r="D26" s="34">
        <v>24</v>
      </c>
      <c r="E26" s="34">
        <v>24.8</v>
      </c>
      <c r="F26" s="34">
        <v>23.2</v>
      </c>
      <c r="G26" s="34">
        <v>24</v>
      </c>
      <c r="H26" s="34">
        <v>24.8</v>
      </c>
      <c r="I26" s="34">
        <v>23.2</v>
      </c>
      <c r="J26" s="34">
        <v>24</v>
      </c>
      <c r="K26" s="34">
        <v>24.8</v>
      </c>
      <c r="L26" s="34">
        <v>23.2</v>
      </c>
      <c r="M26" s="34">
        <v>24</v>
      </c>
      <c r="N26" s="34">
        <v>24.8</v>
      </c>
      <c r="O26" s="8">
        <f t="shared" si="0"/>
        <v>24</v>
      </c>
    </row>
    <row r="27" spans="1:15" x14ac:dyDescent="0.25">
      <c r="A27" s="32" t="s">
        <v>175</v>
      </c>
      <c r="B27" s="33" t="s">
        <v>307</v>
      </c>
      <c r="C27" s="34">
        <v>24.4</v>
      </c>
      <c r="D27" s="34">
        <v>25.2</v>
      </c>
      <c r="E27" s="34">
        <v>26</v>
      </c>
      <c r="F27" s="34">
        <v>24.4</v>
      </c>
      <c r="G27" s="34">
        <v>25.2</v>
      </c>
      <c r="H27" s="34">
        <v>26</v>
      </c>
      <c r="I27" s="34">
        <v>24.4</v>
      </c>
      <c r="J27" s="34">
        <v>25.2</v>
      </c>
      <c r="K27" s="34">
        <v>26</v>
      </c>
      <c r="L27" s="34">
        <v>24.4</v>
      </c>
      <c r="M27" s="34">
        <v>25.2</v>
      </c>
      <c r="N27" s="34">
        <v>26</v>
      </c>
      <c r="O27" s="8">
        <f t="shared" si="0"/>
        <v>25.2</v>
      </c>
    </row>
    <row r="28" spans="1:15" x14ac:dyDescent="0.25">
      <c r="A28" s="32" t="s">
        <v>178</v>
      </c>
      <c r="B28" s="33" t="s">
        <v>308</v>
      </c>
      <c r="C28" s="34">
        <v>25.6</v>
      </c>
      <c r="D28" s="34">
        <v>26.4</v>
      </c>
      <c r="E28" s="34">
        <v>27.2</v>
      </c>
      <c r="F28" s="34">
        <v>25.6</v>
      </c>
      <c r="G28" s="34">
        <v>26.4</v>
      </c>
      <c r="H28" s="34">
        <v>27.2</v>
      </c>
      <c r="I28" s="34">
        <v>25.6</v>
      </c>
      <c r="J28" s="34">
        <v>26.4</v>
      </c>
      <c r="K28" s="34">
        <v>27.2</v>
      </c>
      <c r="L28" s="34">
        <v>25.6</v>
      </c>
      <c r="M28" s="34">
        <v>26.4</v>
      </c>
      <c r="N28" s="34">
        <v>27.2</v>
      </c>
      <c r="O28" s="8">
        <f t="shared" si="0"/>
        <v>26.399999999999995</v>
      </c>
    </row>
    <row r="29" spans="1:15" x14ac:dyDescent="0.25">
      <c r="A29" s="32" t="s">
        <v>181</v>
      </c>
      <c r="B29" s="33" t="s">
        <v>309</v>
      </c>
      <c r="C29" s="34">
        <v>26.8</v>
      </c>
      <c r="D29" s="34">
        <v>27.6</v>
      </c>
      <c r="E29" s="34">
        <v>28.4</v>
      </c>
      <c r="F29" s="34">
        <v>26.8</v>
      </c>
      <c r="G29" s="34">
        <v>27.6</v>
      </c>
      <c r="H29" s="34">
        <v>28.4</v>
      </c>
      <c r="I29" s="34">
        <v>26.8</v>
      </c>
      <c r="J29" s="34">
        <v>27.6</v>
      </c>
      <c r="K29" s="34">
        <v>28.4</v>
      </c>
      <c r="L29" s="34">
        <v>26.8</v>
      </c>
      <c r="M29" s="34">
        <v>27.6</v>
      </c>
      <c r="N29" s="34">
        <v>28.4</v>
      </c>
      <c r="O29" s="8">
        <f t="shared" si="0"/>
        <v>27.600000000000005</v>
      </c>
    </row>
    <row r="30" spans="1:15" x14ac:dyDescent="0.25">
      <c r="A30" s="32" t="s">
        <v>184</v>
      </c>
      <c r="B30" s="33" t="s">
        <v>310</v>
      </c>
      <c r="C30" s="34">
        <v>28</v>
      </c>
      <c r="D30" s="34">
        <v>28.8</v>
      </c>
      <c r="E30" s="34">
        <v>29.6</v>
      </c>
      <c r="F30" s="34">
        <v>28</v>
      </c>
      <c r="G30" s="34">
        <v>28.8</v>
      </c>
      <c r="H30" s="34">
        <v>29.6</v>
      </c>
      <c r="I30" s="34">
        <v>28</v>
      </c>
      <c r="J30" s="34">
        <v>28.8</v>
      </c>
      <c r="K30" s="34">
        <v>29.6</v>
      </c>
      <c r="L30" s="34">
        <v>28</v>
      </c>
      <c r="M30" s="34">
        <v>28.8</v>
      </c>
      <c r="N30" s="34">
        <v>29.6</v>
      </c>
      <c r="O30" s="8">
        <f t="shared" si="0"/>
        <v>28.800000000000008</v>
      </c>
    </row>
    <row r="31" spans="1:15" x14ac:dyDescent="0.25">
      <c r="A31" s="24" t="s">
        <v>311</v>
      </c>
      <c r="B31" s="25" t="s">
        <v>312</v>
      </c>
      <c r="C31" s="35">
        <f t="shared" ref="C31:O31" si="1">AVERAGE(C6:C30)</f>
        <v>26.703999999999997</v>
      </c>
      <c r="D31" s="35">
        <f t="shared" si="1"/>
        <v>27.504000000000001</v>
      </c>
      <c r="E31" s="35">
        <f t="shared" si="1"/>
        <v>28.304000000000002</v>
      </c>
      <c r="F31" s="35">
        <f t="shared" si="1"/>
        <v>26.703999999999997</v>
      </c>
      <c r="G31" s="35">
        <f t="shared" si="1"/>
        <v>27.504000000000001</v>
      </c>
      <c r="H31" s="35">
        <f t="shared" si="1"/>
        <v>28.304000000000002</v>
      </c>
      <c r="I31" s="35">
        <f t="shared" si="1"/>
        <v>26.703999999999997</v>
      </c>
      <c r="J31" s="35">
        <f t="shared" si="1"/>
        <v>27.504000000000001</v>
      </c>
      <c r="K31" s="35">
        <f t="shared" si="1"/>
        <v>28.304000000000002</v>
      </c>
      <c r="L31" s="35">
        <f t="shared" si="1"/>
        <v>26.703999999999997</v>
      </c>
      <c r="M31" s="35">
        <f t="shared" si="1"/>
        <v>27.504000000000001</v>
      </c>
      <c r="N31" s="35">
        <f t="shared" si="1"/>
        <v>28.304000000000002</v>
      </c>
      <c r="O31" s="35">
        <f t="shared" si="1"/>
        <v>27.504000000000001</v>
      </c>
    </row>
    <row r="33" spans="1:7" x14ac:dyDescent="0.25">
      <c r="A33" s="48" t="s">
        <v>313</v>
      </c>
      <c r="B33" s="47"/>
      <c r="C33" s="47"/>
      <c r="D33" s="47"/>
      <c r="E33" s="47"/>
      <c r="F33" s="47"/>
      <c r="G33" s="47"/>
    </row>
    <row r="34" spans="1:7" x14ac:dyDescent="0.25">
      <c r="A34" s="3" t="s">
        <v>289</v>
      </c>
      <c r="B34" s="3" t="s">
        <v>314</v>
      </c>
      <c r="C34" s="3" t="s">
        <v>315</v>
      </c>
      <c r="D34" s="3" t="s">
        <v>316</v>
      </c>
      <c r="E34" s="3" t="s">
        <v>317</v>
      </c>
      <c r="F34" s="3" t="s">
        <v>318</v>
      </c>
      <c r="G34" s="3" t="s">
        <v>319</v>
      </c>
    </row>
    <row r="35" spans="1:7" x14ac:dyDescent="0.25">
      <c r="A35" s="6" t="s">
        <v>105</v>
      </c>
      <c r="B35" s="6" t="s">
        <v>320</v>
      </c>
      <c r="C35" s="6" t="s">
        <v>320</v>
      </c>
      <c r="D35" s="6" t="s">
        <v>320</v>
      </c>
      <c r="E35" s="6" t="s">
        <v>320</v>
      </c>
      <c r="F35" s="20" t="s">
        <v>321</v>
      </c>
      <c r="G35" s="20" t="s">
        <v>322</v>
      </c>
    </row>
    <row r="36" spans="1:7" x14ac:dyDescent="0.25">
      <c r="A36" s="6" t="s">
        <v>114</v>
      </c>
      <c r="B36" s="6" t="s">
        <v>323</v>
      </c>
      <c r="C36" s="6" t="s">
        <v>320</v>
      </c>
      <c r="D36" s="6" t="s">
        <v>320</v>
      </c>
      <c r="E36" s="6" t="s">
        <v>320</v>
      </c>
      <c r="F36" s="36" t="s">
        <v>324</v>
      </c>
      <c r="G36" s="20" t="s">
        <v>325</v>
      </c>
    </row>
    <row r="37" spans="1:7" x14ac:dyDescent="0.25">
      <c r="A37" s="6" t="s">
        <v>118</v>
      </c>
      <c r="B37" s="6" t="s">
        <v>320</v>
      </c>
      <c r="C37" s="6" t="s">
        <v>326</v>
      </c>
      <c r="D37" s="6" t="s">
        <v>320</v>
      </c>
      <c r="E37" s="6" t="s">
        <v>320</v>
      </c>
      <c r="F37" s="37" t="s">
        <v>327</v>
      </c>
      <c r="G37" s="20" t="s">
        <v>328</v>
      </c>
    </row>
    <row r="38" spans="1:7" x14ac:dyDescent="0.25">
      <c r="A38" s="6" t="s">
        <v>121</v>
      </c>
      <c r="B38" s="6" t="s">
        <v>320</v>
      </c>
      <c r="C38" s="6" t="s">
        <v>320</v>
      </c>
      <c r="D38" s="6" t="s">
        <v>320</v>
      </c>
      <c r="E38" s="6" t="s">
        <v>320</v>
      </c>
      <c r="F38" s="20" t="s">
        <v>321</v>
      </c>
      <c r="G38" s="20" t="s">
        <v>322</v>
      </c>
    </row>
    <row r="39" spans="1:7" x14ac:dyDescent="0.25">
      <c r="A39" s="6" t="s">
        <v>124</v>
      </c>
      <c r="B39" s="6" t="s">
        <v>329</v>
      </c>
      <c r="C39" s="6" t="s">
        <v>320</v>
      </c>
      <c r="D39" s="6" t="s">
        <v>320</v>
      </c>
      <c r="E39" s="6" t="s">
        <v>323</v>
      </c>
      <c r="F39" s="37" t="s">
        <v>330</v>
      </c>
      <c r="G39" s="20" t="s">
        <v>331</v>
      </c>
    </row>
  </sheetData>
  <mergeCells count="2">
    <mergeCell ref="A33:G33"/>
    <mergeCell ref="A4:O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8"/>
  <sheetViews>
    <sheetView workbookViewId="0"/>
  </sheetViews>
  <sheetFormatPr baseColWidth="10" defaultColWidth="9.140625" defaultRowHeight="15" x14ac:dyDescent="0.25"/>
  <cols>
    <col min="1" max="1" width="89" customWidth="1"/>
    <col min="2" max="2" width="21" customWidth="1"/>
    <col min="3" max="3" width="34" customWidth="1"/>
    <col min="4" max="4" width="26" customWidth="1"/>
    <col min="5" max="5" width="17" customWidth="1"/>
    <col min="6" max="6" width="21" customWidth="1"/>
    <col min="7" max="7" width="29" customWidth="1"/>
    <col min="8" max="8" width="19" customWidth="1"/>
    <col min="9" max="9" width="26" customWidth="1"/>
  </cols>
  <sheetData>
    <row r="1" spans="1:9" ht="21" x14ac:dyDescent="0.35">
      <c r="A1" s="1" t="s">
        <v>332</v>
      </c>
    </row>
    <row r="2" spans="1:9" x14ac:dyDescent="0.25">
      <c r="A2" s="2" t="s">
        <v>333</v>
      </c>
    </row>
    <row r="4" spans="1:9" x14ac:dyDescent="0.25">
      <c r="A4" s="48" t="s">
        <v>334</v>
      </c>
      <c r="B4" s="47"/>
      <c r="C4" s="47"/>
      <c r="D4" s="47"/>
      <c r="E4" s="47"/>
      <c r="F4" s="47"/>
      <c r="G4" s="47"/>
      <c r="H4" s="47"/>
      <c r="I4" s="47"/>
    </row>
    <row r="5" spans="1:9" x14ac:dyDescent="0.25">
      <c r="A5" s="3" t="s">
        <v>289</v>
      </c>
      <c r="B5" s="3" t="s">
        <v>335</v>
      </c>
      <c r="C5" s="3" t="s">
        <v>100</v>
      </c>
      <c r="D5" s="3" t="s">
        <v>336</v>
      </c>
      <c r="E5" s="3" t="s">
        <v>337</v>
      </c>
      <c r="F5" s="3" t="s">
        <v>338</v>
      </c>
      <c r="G5" s="3" t="s">
        <v>339</v>
      </c>
      <c r="H5" s="3" t="s">
        <v>340</v>
      </c>
      <c r="I5" s="3" t="s">
        <v>99</v>
      </c>
    </row>
    <row r="6" spans="1:9" x14ac:dyDescent="0.25">
      <c r="A6" s="6" t="s">
        <v>105</v>
      </c>
      <c r="B6" s="6" t="s">
        <v>341</v>
      </c>
      <c r="C6" s="38">
        <v>2</v>
      </c>
      <c r="D6" s="6" t="s">
        <v>342</v>
      </c>
      <c r="E6" s="9" t="s">
        <v>343</v>
      </c>
      <c r="F6" s="6" t="s">
        <v>344</v>
      </c>
      <c r="G6" s="6" t="s">
        <v>345</v>
      </c>
      <c r="H6" s="31">
        <v>76</v>
      </c>
      <c r="I6" s="6" t="s">
        <v>116</v>
      </c>
    </row>
    <row r="7" spans="1:9" x14ac:dyDescent="0.25">
      <c r="A7" s="6" t="s">
        <v>114</v>
      </c>
      <c r="B7" s="6" t="s">
        <v>346</v>
      </c>
      <c r="C7" s="38">
        <v>3</v>
      </c>
      <c r="D7" s="6" t="s">
        <v>347</v>
      </c>
      <c r="E7" s="9" t="s">
        <v>348</v>
      </c>
      <c r="F7" s="6" t="s">
        <v>349</v>
      </c>
      <c r="G7" s="6" t="s">
        <v>350</v>
      </c>
      <c r="H7" s="31">
        <v>75</v>
      </c>
      <c r="I7" s="6" t="s">
        <v>116</v>
      </c>
    </row>
    <row r="8" spans="1:9" x14ac:dyDescent="0.25">
      <c r="A8" s="6" t="s">
        <v>118</v>
      </c>
      <c r="B8" s="6" t="s">
        <v>351</v>
      </c>
      <c r="C8" s="38">
        <v>1</v>
      </c>
      <c r="D8" s="6" t="s">
        <v>352</v>
      </c>
      <c r="E8" s="9" t="s">
        <v>353</v>
      </c>
      <c r="F8" s="6" t="s">
        <v>354</v>
      </c>
      <c r="G8" s="6" t="s">
        <v>355</v>
      </c>
      <c r="H8" s="31">
        <v>85</v>
      </c>
      <c r="I8" s="6" t="s">
        <v>356</v>
      </c>
    </row>
    <row r="9" spans="1:9" x14ac:dyDescent="0.25">
      <c r="A9" s="6" t="s">
        <v>121</v>
      </c>
      <c r="B9" s="6" t="s">
        <v>357</v>
      </c>
      <c r="C9" s="38">
        <v>4</v>
      </c>
      <c r="D9" s="6" t="s">
        <v>358</v>
      </c>
      <c r="E9" s="9" t="s">
        <v>343</v>
      </c>
      <c r="F9" s="6" t="s">
        <v>344</v>
      </c>
      <c r="G9" s="6" t="s">
        <v>359</v>
      </c>
      <c r="H9" s="31">
        <v>49</v>
      </c>
      <c r="I9" s="6" t="s">
        <v>116</v>
      </c>
    </row>
    <row r="10" spans="1:9" x14ac:dyDescent="0.25">
      <c r="A10" s="6" t="s">
        <v>124</v>
      </c>
      <c r="B10" s="6" t="s">
        <v>360</v>
      </c>
      <c r="C10" s="38">
        <v>2</v>
      </c>
      <c r="D10" s="6" t="s">
        <v>361</v>
      </c>
      <c r="E10" s="9" t="s">
        <v>362</v>
      </c>
      <c r="F10" s="6" t="s">
        <v>363</v>
      </c>
      <c r="G10" s="6" t="s">
        <v>362</v>
      </c>
      <c r="H10" s="31">
        <v>120</v>
      </c>
      <c r="I10" s="6" t="s">
        <v>364</v>
      </c>
    </row>
    <row r="13" spans="1:9" x14ac:dyDescent="0.25">
      <c r="A13" s="48" t="s">
        <v>365</v>
      </c>
      <c r="B13" s="47"/>
      <c r="C13" s="47"/>
      <c r="D13" s="47"/>
      <c r="E13" s="47"/>
      <c r="F13" s="47"/>
      <c r="G13" s="47"/>
      <c r="H13" s="47"/>
      <c r="I13" s="47"/>
    </row>
    <row r="14" spans="1:9" x14ac:dyDescent="0.25">
      <c r="A14" s="3" t="s">
        <v>366</v>
      </c>
      <c r="B14" s="3" t="s">
        <v>367</v>
      </c>
      <c r="C14" s="3" t="s">
        <v>368</v>
      </c>
      <c r="D14" s="3" t="s">
        <v>369</v>
      </c>
      <c r="E14" s="3" t="s">
        <v>370</v>
      </c>
      <c r="F14" s="3" t="s">
        <v>371</v>
      </c>
      <c r="G14" s="3" t="s">
        <v>372</v>
      </c>
      <c r="H14" s="3" t="s">
        <v>373</v>
      </c>
      <c r="I14" s="3" t="s">
        <v>374</v>
      </c>
    </row>
    <row r="15" spans="1:9" x14ac:dyDescent="0.25">
      <c r="A15" s="6" t="s">
        <v>375</v>
      </c>
      <c r="B15" s="6" t="s">
        <v>376</v>
      </c>
      <c r="C15" s="20" t="s">
        <v>377</v>
      </c>
      <c r="D15" s="20" t="s">
        <v>378</v>
      </c>
      <c r="E15" s="6" t="s">
        <v>379</v>
      </c>
      <c r="F15" s="20" t="s">
        <v>380</v>
      </c>
      <c r="G15" s="6">
        <v>0</v>
      </c>
      <c r="H15" s="20" t="s">
        <v>381</v>
      </c>
      <c r="I15" s="6" t="s">
        <v>382</v>
      </c>
    </row>
    <row r="16" spans="1:9" x14ac:dyDescent="0.25">
      <c r="A16" s="6" t="s">
        <v>375</v>
      </c>
      <c r="B16" s="6" t="s">
        <v>383</v>
      </c>
      <c r="C16" s="20" t="s">
        <v>384</v>
      </c>
      <c r="D16" s="20" t="s">
        <v>385</v>
      </c>
      <c r="E16" s="6" t="s">
        <v>386</v>
      </c>
      <c r="F16" s="20" t="s">
        <v>380</v>
      </c>
      <c r="G16" s="6">
        <v>0</v>
      </c>
      <c r="H16" s="20" t="s">
        <v>381</v>
      </c>
      <c r="I16" s="6" t="s">
        <v>382</v>
      </c>
    </row>
    <row r="17" spans="1:9" x14ac:dyDescent="0.25">
      <c r="A17" s="6" t="s">
        <v>387</v>
      </c>
      <c r="B17" s="6" t="s">
        <v>124</v>
      </c>
      <c r="C17" s="20" t="s">
        <v>388</v>
      </c>
      <c r="D17" s="20" t="s">
        <v>389</v>
      </c>
      <c r="E17" s="6" t="s">
        <v>390</v>
      </c>
      <c r="F17" s="20" t="s">
        <v>391</v>
      </c>
      <c r="G17" s="6">
        <v>4</v>
      </c>
      <c r="H17" s="20" t="s">
        <v>392</v>
      </c>
      <c r="I17" s="6" t="s">
        <v>393</v>
      </c>
    </row>
    <row r="18" spans="1:9" x14ac:dyDescent="0.25">
      <c r="A18" s="6" t="s">
        <v>394</v>
      </c>
      <c r="B18" s="6" t="s">
        <v>395</v>
      </c>
      <c r="C18" s="20" t="s">
        <v>396</v>
      </c>
      <c r="D18" s="20" t="s">
        <v>397</v>
      </c>
      <c r="E18" s="6" t="s">
        <v>398</v>
      </c>
      <c r="F18" s="20" t="s">
        <v>399</v>
      </c>
      <c r="G18" s="6">
        <v>28</v>
      </c>
      <c r="H18" s="20" t="s">
        <v>400</v>
      </c>
      <c r="I18" s="6" t="s">
        <v>401</v>
      </c>
    </row>
  </sheetData>
  <mergeCells count="2">
    <mergeCell ref="A4:I4"/>
    <mergeCell ref="A13:I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workbookViewId="0"/>
  </sheetViews>
  <sheetFormatPr baseColWidth="10" defaultColWidth="9.140625" defaultRowHeight="15" x14ac:dyDescent="0.25"/>
  <cols>
    <col min="1" max="1" width="99" customWidth="1"/>
    <col min="2" max="2" width="23" customWidth="1"/>
    <col min="3" max="3" width="21" customWidth="1"/>
    <col min="4" max="5" width="19" customWidth="1"/>
    <col min="6" max="6" width="23" customWidth="1"/>
    <col min="7" max="7" width="34" customWidth="1"/>
    <col min="8" max="8" width="25" customWidth="1"/>
  </cols>
  <sheetData>
    <row r="1" spans="1:8" ht="21" x14ac:dyDescent="0.35">
      <c r="A1" s="1" t="s">
        <v>402</v>
      </c>
    </row>
    <row r="2" spans="1:8" x14ac:dyDescent="0.25">
      <c r="A2" s="2" t="s">
        <v>403</v>
      </c>
    </row>
    <row r="4" spans="1:8" x14ac:dyDescent="0.25">
      <c r="A4" s="48" t="s">
        <v>404</v>
      </c>
      <c r="B4" s="47"/>
      <c r="C4" s="47"/>
      <c r="D4" s="47"/>
      <c r="E4" s="47"/>
      <c r="F4" s="47"/>
      <c r="G4" s="47"/>
      <c r="H4" s="47"/>
    </row>
    <row r="5" spans="1:8" x14ac:dyDescent="0.25">
      <c r="A5" s="3" t="s">
        <v>69</v>
      </c>
      <c r="B5" s="3" t="s">
        <v>405</v>
      </c>
      <c r="C5" s="3" t="s">
        <v>406</v>
      </c>
      <c r="D5" s="3" t="s">
        <v>407</v>
      </c>
      <c r="E5" s="3" t="s">
        <v>408</v>
      </c>
      <c r="F5" s="3" t="s">
        <v>409</v>
      </c>
      <c r="G5" s="3" t="s">
        <v>410</v>
      </c>
      <c r="H5" s="3" t="s">
        <v>411</v>
      </c>
    </row>
    <row r="6" spans="1:8" x14ac:dyDescent="0.25">
      <c r="A6" s="20" t="s">
        <v>78</v>
      </c>
      <c r="B6" s="21">
        <v>1200</v>
      </c>
      <c r="C6" s="21">
        <v>1239.5999999999999</v>
      </c>
      <c r="D6" s="21">
        <f t="shared" ref="D6:D17" si="0">C6-B6</f>
        <v>39.599999999999909</v>
      </c>
      <c r="E6" s="22">
        <f t="shared" ref="E6:E17" si="1">D6*1000</f>
        <v>39599.999999999913</v>
      </c>
      <c r="F6" s="22">
        <f>'Resumen Ejecutivo CMM'!E21</f>
        <v>22010</v>
      </c>
      <c r="G6" s="21">
        <f t="shared" ref="G6:G18" si="2">E6/F6</f>
        <v>1.7991821899136717</v>
      </c>
      <c r="H6" s="20" t="s">
        <v>412</v>
      </c>
    </row>
    <row r="7" spans="1:8" x14ac:dyDescent="0.25">
      <c r="A7" s="20" t="s">
        <v>79</v>
      </c>
      <c r="B7" s="21">
        <v>1239.5999999999999</v>
      </c>
      <c r="C7" s="21">
        <v>1274.5999999999999</v>
      </c>
      <c r="D7" s="21">
        <f t="shared" si="0"/>
        <v>35</v>
      </c>
      <c r="E7" s="22">
        <f t="shared" si="1"/>
        <v>35000</v>
      </c>
      <c r="F7" s="22">
        <f>'Resumen Ejecutivo CMM'!E22</f>
        <v>19460</v>
      </c>
      <c r="G7" s="21">
        <f t="shared" si="2"/>
        <v>1.7985611510791366</v>
      </c>
      <c r="H7" s="20" t="s">
        <v>412</v>
      </c>
    </row>
    <row r="8" spans="1:8" x14ac:dyDescent="0.25">
      <c r="A8" s="20" t="s">
        <v>80</v>
      </c>
      <c r="B8" s="21">
        <v>1274.5999999999999</v>
      </c>
      <c r="C8" s="21">
        <v>1312.5</v>
      </c>
      <c r="D8" s="21">
        <f t="shared" si="0"/>
        <v>37.900000000000091</v>
      </c>
      <c r="E8" s="22">
        <f t="shared" si="1"/>
        <v>37900.000000000087</v>
      </c>
      <c r="F8" s="22">
        <f>'Resumen Ejecutivo CMM'!E23</f>
        <v>21080</v>
      </c>
      <c r="G8" s="21">
        <f t="shared" si="2"/>
        <v>1.7979127134724899</v>
      </c>
      <c r="H8" s="20" t="s">
        <v>412</v>
      </c>
    </row>
    <row r="9" spans="1:8" x14ac:dyDescent="0.25">
      <c r="A9" s="20" t="s">
        <v>81</v>
      </c>
      <c r="B9" s="21">
        <v>1312.5</v>
      </c>
      <c r="C9" s="21">
        <v>1350.5</v>
      </c>
      <c r="D9" s="21">
        <f t="shared" si="0"/>
        <v>38</v>
      </c>
      <c r="E9" s="22">
        <f t="shared" si="1"/>
        <v>38000</v>
      </c>
      <c r="F9" s="22">
        <f>'Resumen Ejecutivo CMM'!E24</f>
        <v>21150</v>
      </c>
      <c r="G9" s="21">
        <f t="shared" si="2"/>
        <v>1.7966903073286051</v>
      </c>
      <c r="H9" s="20" t="s">
        <v>412</v>
      </c>
    </row>
    <row r="10" spans="1:8" x14ac:dyDescent="0.25">
      <c r="A10" s="20" t="s">
        <v>82</v>
      </c>
      <c r="B10" s="21">
        <v>1350.5</v>
      </c>
      <c r="C10" s="21">
        <v>1390.9</v>
      </c>
      <c r="D10" s="21">
        <f t="shared" si="0"/>
        <v>40.400000000000091</v>
      </c>
      <c r="E10" s="22">
        <f t="shared" si="1"/>
        <v>40400.000000000087</v>
      </c>
      <c r="F10" s="22">
        <f>'Resumen Ejecutivo CMM'!E25</f>
        <v>22475</v>
      </c>
      <c r="G10" s="21">
        <f t="shared" si="2"/>
        <v>1.7975528364849871</v>
      </c>
      <c r="H10" s="20" t="s">
        <v>412</v>
      </c>
    </row>
    <row r="11" spans="1:8" x14ac:dyDescent="0.25">
      <c r="A11" s="20" t="s">
        <v>83</v>
      </c>
      <c r="B11" s="21">
        <v>1390.9</v>
      </c>
      <c r="C11" s="21">
        <v>1430.3</v>
      </c>
      <c r="D11" s="21">
        <f t="shared" si="0"/>
        <v>39.399999999999864</v>
      </c>
      <c r="E11" s="22">
        <f t="shared" si="1"/>
        <v>39399.999999999862</v>
      </c>
      <c r="F11" s="22">
        <f>'Resumen Ejecutivo CMM'!E26</f>
        <v>21900</v>
      </c>
      <c r="G11" s="21">
        <f t="shared" si="2"/>
        <v>1.7990867579908614</v>
      </c>
      <c r="H11" s="20" t="s">
        <v>412</v>
      </c>
    </row>
    <row r="12" spans="1:8" x14ac:dyDescent="0.25">
      <c r="A12" s="20" t="s">
        <v>84</v>
      </c>
      <c r="B12" s="21">
        <v>1430.3</v>
      </c>
      <c r="C12" s="21">
        <v>1470.2</v>
      </c>
      <c r="D12" s="21">
        <f t="shared" si="0"/>
        <v>39.900000000000091</v>
      </c>
      <c r="E12" s="22">
        <f t="shared" si="1"/>
        <v>39900.000000000087</v>
      </c>
      <c r="F12" s="22">
        <f>'Resumen Ejecutivo CMM'!E27</f>
        <v>22165</v>
      </c>
      <c r="G12" s="21">
        <f t="shared" si="2"/>
        <v>1.8001353485224492</v>
      </c>
      <c r="H12" s="20" t="s">
        <v>412</v>
      </c>
    </row>
    <row r="13" spans="1:8" x14ac:dyDescent="0.25">
      <c r="A13" s="20" t="s">
        <v>85</v>
      </c>
      <c r="B13" s="21">
        <v>1470.2</v>
      </c>
      <c r="C13" s="21">
        <v>1508.7</v>
      </c>
      <c r="D13" s="21">
        <f t="shared" si="0"/>
        <v>38.5</v>
      </c>
      <c r="E13" s="22">
        <f t="shared" si="1"/>
        <v>38500</v>
      </c>
      <c r="F13" s="22">
        <f>'Resumen Ejecutivo CMM'!E28</f>
        <v>21390</v>
      </c>
      <c r="G13" s="21">
        <f t="shared" si="2"/>
        <v>1.7999064983637214</v>
      </c>
      <c r="H13" s="20" t="s">
        <v>412</v>
      </c>
    </row>
    <row r="14" spans="1:8" x14ac:dyDescent="0.25">
      <c r="A14" s="20" t="s">
        <v>86</v>
      </c>
      <c r="B14" s="21">
        <v>1508.7</v>
      </c>
      <c r="C14" s="21">
        <v>1546.5</v>
      </c>
      <c r="D14" s="21">
        <f t="shared" si="0"/>
        <v>37.799999999999955</v>
      </c>
      <c r="E14" s="22">
        <f t="shared" si="1"/>
        <v>37799.999999999956</v>
      </c>
      <c r="F14" s="22">
        <f>'Resumen Ejecutivo CMM'!E29</f>
        <v>21000</v>
      </c>
      <c r="G14" s="21">
        <f t="shared" si="2"/>
        <v>1.7999999999999978</v>
      </c>
      <c r="H14" s="20" t="s">
        <v>412</v>
      </c>
    </row>
    <row r="15" spans="1:8" x14ac:dyDescent="0.25">
      <c r="A15" s="20" t="s">
        <v>87</v>
      </c>
      <c r="B15" s="21">
        <v>1546.5</v>
      </c>
      <c r="C15" s="21">
        <v>1586.6</v>
      </c>
      <c r="D15" s="21">
        <f t="shared" si="0"/>
        <v>40.099999999999909</v>
      </c>
      <c r="E15" s="22">
        <f t="shared" si="1"/>
        <v>40099.999999999913</v>
      </c>
      <c r="F15" s="22">
        <f>'Resumen Ejecutivo CMM'!E30</f>
        <v>22320</v>
      </c>
      <c r="G15" s="21">
        <f t="shared" si="2"/>
        <v>1.7965949820788492</v>
      </c>
      <c r="H15" s="20" t="s">
        <v>412</v>
      </c>
    </row>
    <row r="16" spans="1:8" x14ac:dyDescent="0.25">
      <c r="A16" s="20" t="s">
        <v>88</v>
      </c>
      <c r="B16" s="21">
        <v>1586.6</v>
      </c>
      <c r="C16" s="21">
        <v>1625.2</v>
      </c>
      <c r="D16" s="21">
        <f t="shared" si="0"/>
        <v>38.600000000000136</v>
      </c>
      <c r="E16" s="22">
        <f t="shared" si="1"/>
        <v>38600.000000000138</v>
      </c>
      <c r="F16" s="22">
        <f>'Resumen Ejecutivo CMM'!E31</f>
        <v>21450</v>
      </c>
      <c r="G16" s="21">
        <f t="shared" si="2"/>
        <v>1.7995337995338059</v>
      </c>
      <c r="H16" s="20" t="s">
        <v>412</v>
      </c>
    </row>
    <row r="17" spans="1:8" x14ac:dyDescent="0.25">
      <c r="A17" s="20" t="s">
        <v>89</v>
      </c>
      <c r="B17" s="21">
        <v>1625.2</v>
      </c>
      <c r="C17" s="21">
        <v>1664.8</v>
      </c>
      <c r="D17" s="21">
        <f t="shared" si="0"/>
        <v>39.599999999999909</v>
      </c>
      <c r="E17" s="22">
        <f t="shared" si="1"/>
        <v>39599.999999999913</v>
      </c>
      <c r="F17" s="22">
        <f>'Resumen Ejecutivo CMM'!E32</f>
        <v>22010</v>
      </c>
      <c r="G17" s="21">
        <f t="shared" si="2"/>
        <v>1.7991821899136717</v>
      </c>
      <c r="H17" s="20" t="s">
        <v>412</v>
      </c>
    </row>
    <row r="18" spans="1:8" x14ac:dyDescent="0.25">
      <c r="A18" s="24" t="s">
        <v>90</v>
      </c>
      <c r="B18" s="26">
        <v>1200</v>
      </c>
      <c r="C18" s="26">
        <v>1664.8</v>
      </c>
      <c r="D18" s="26">
        <f>SUM(D6:D17)</f>
        <v>464.79999999999995</v>
      </c>
      <c r="E18" s="27">
        <f>SUM(E6:E17)</f>
        <v>464799.99999999988</v>
      </c>
      <c r="F18" s="27">
        <f>SUM(F6:F17)</f>
        <v>258410</v>
      </c>
      <c r="G18" s="26">
        <f t="shared" si="2"/>
        <v>1.798692001083549</v>
      </c>
      <c r="H18" s="24" t="s">
        <v>413</v>
      </c>
    </row>
  </sheetData>
  <mergeCells count="1">
    <mergeCell ref="A4:H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"/>
  <sheetViews>
    <sheetView workbookViewId="0"/>
  </sheetViews>
  <sheetFormatPr baseColWidth="10" defaultColWidth="9.140625" defaultRowHeight="15" x14ac:dyDescent="0.25"/>
  <cols>
    <col min="1" max="1" width="87" customWidth="1"/>
    <col min="2" max="2" width="12" customWidth="1"/>
    <col min="3" max="3" width="18" customWidth="1"/>
    <col min="4" max="4" width="17" customWidth="1"/>
    <col min="5" max="5" width="16" customWidth="1"/>
    <col min="6" max="6" width="25" customWidth="1"/>
    <col min="7" max="7" width="26" customWidth="1"/>
  </cols>
  <sheetData>
    <row r="1" spans="1:7" ht="21" x14ac:dyDescent="0.35">
      <c r="A1" s="1" t="s">
        <v>414</v>
      </c>
    </row>
    <row r="2" spans="1:7" x14ac:dyDescent="0.25">
      <c r="A2" s="2" t="s">
        <v>415</v>
      </c>
    </row>
    <row r="4" spans="1:7" x14ac:dyDescent="0.25">
      <c r="A4" s="48" t="s">
        <v>416</v>
      </c>
      <c r="B4" s="47"/>
      <c r="C4" s="47"/>
      <c r="D4" s="47"/>
      <c r="E4" s="47"/>
      <c r="F4" s="47"/>
      <c r="G4" s="47"/>
    </row>
    <row r="5" spans="1:7" x14ac:dyDescent="0.25">
      <c r="A5" s="3" t="s">
        <v>417</v>
      </c>
      <c r="B5" s="3" t="s">
        <v>418</v>
      </c>
      <c r="C5" s="3" t="s">
        <v>419</v>
      </c>
      <c r="D5" s="3" t="s">
        <v>420</v>
      </c>
      <c r="E5" s="3" t="s">
        <v>421</v>
      </c>
      <c r="F5" s="3" t="s">
        <v>422</v>
      </c>
      <c r="G5" s="3" t="s">
        <v>423</v>
      </c>
    </row>
    <row r="6" spans="1:7" x14ac:dyDescent="0.25">
      <c r="A6" s="6" t="s">
        <v>424</v>
      </c>
      <c r="B6" s="21">
        <v>1</v>
      </c>
      <c r="C6" s="20" t="s">
        <v>425</v>
      </c>
      <c r="D6" s="22">
        <v>2</v>
      </c>
      <c r="E6" s="22">
        <v>28</v>
      </c>
      <c r="F6" s="21">
        <v>4.5</v>
      </c>
      <c r="G6" s="22">
        <f t="shared" ref="G6:G20" si="0">B6*10000*F6/D6</f>
        <v>22500</v>
      </c>
    </row>
    <row r="7" spans="1:7" x14ac:dyDescent="0.25">
      <c r="A7" s="6" t="s">
        <v>426</v>
      </c>
      <c r="B7" s="21">
        <v>1</v>
      </c>
      <c r="C7" s="20" t="s">
        <v>427</v>
      </c>
      <c r="D7" s="22">
        <v>2</v>
      </c>
      <c r="E7" s="22">
        <v>28</v>
      </c>
      <c r="F7" s="21">
        <v>4.5</v>
      </c>
      <c r="G7" s="22">
        <f t="shared" si="0"/>
        <v>22500</v>
      </c>
    </row>
    <row r="8" spans="1:7" x14ac:dyDescent="0.25">
      <c r="A8" s="6" t="s">
        <v>428</v>
      </c>
      <c r="B8" s="21">
        <v>1</v>
      </c>
      <c r="C8" s="20" t="s">
        <v>425</v>
      </c>
      <c r="D8" s="22">
        <v>2</v>
      </c>
      <c r="E8" s="22">
        <v>28</v>
      </c>
      <c r="F8" s="21">
        <v>4.5</v>
      </c>
      <c r="G8" s="22">
        <f t="shared" si="0"/>
        <v>22500</v>
      </c>
    </row>
    <row r="9" spans="1:7" x14ac:dyDescent="0.25">
      <c r="A9" s="6" t="s">
        <v>429</v>
      </c>
      <c r="B9" s="21">
        <v>1</v>
      </c>
      <c r="C9" s="20" t="s">
        <v>427</v>
      </c>
      <c r="D9" s="22">
        <v>2</v>
      </c>
      <c r="E9" s="22">
        <v>28</v>
      </c>
      <c r="F9" s="21">
        <v>4.5</v>
      </c>
      <c r="G9" s="22">
        <f t="shared" si="0"/>
        <v>22500</v>
      </c>
    </row>
    <row r="10" spans="1:7" x14ac:dyDescent="0.25">
      <c r="A10" s="6" t="s">
        <v>430</v>
      </c>
      <c r="B10" s="21">
        <v>1</v>
      </c>
      <c r="C10" s="20" t="s">
        <v>425</v>
      </c>
      <c r="D10" s="22">
        <v>2</v>
      </c>
      <c r="E10" s="22">
        <v>28</v>
      </c>
      <c r="F10" s="21">
        <v>4.5</v>
      </c>
      <c r="G10" s="22">
        <f t="shared" si="0"/>
        <v>22500</v>
      </c>
    </row>
    <row r="11" spans="1:7" x14ac:dyDescent="0.25">
      <c r="A11" s="6" t="s">
        <v>431</v>
      </c>
      <c r="B11" s="21">
        <v>1</v>
      </c>
      <c r="C11" s="20" t="s">
        <v>427</v>
      </c>
      <c r="D11" s="22">
        <v>2</v>
      </c>
      <c r="E11" s="22">
        <v>28</v>
      </c>
      <c r="F11" s="21">
        <v>4.5</v>
      </c>
      <c r="G11" s="22">
        <f t="shared" si="0"/>
        <v>22500</v>
      </c>
    </row>
    <row r="12" spans="1:7" x14ac:dyDescent="0.25">
      <c r="A12" s="6" t="s">
        <v>432</v>
      </c>
      <c r="B12" s="21">
        <v>1</v>
      </c>
      <c r="C12" s="20" t="s">
        <v>425</v>
      </c>
      <c r="D12" s="22">
        <v>2</v>
      </c>
      <c r="E12" s="22">
        <v>28</v>
      </c>
      <c r="F12" s="21">
        <v>4.5</v>
      </c>
      <c r="G12" s="22">
        <f t="shared" si="0"/>
        <v>22500</v>
      </c>
    </row>
    <row r="13" spans="1:7" x14ac:dyDescent="0.25">
      <c r="A13" s="6" t="s">
        <v>433</v>
      </c>
      <c r="B13" s="21">
        <v>1</v>
      </c>
      <c r="C13" s="20" t="s">
        <v>427</v>
      </c>
      <c r="D13" s="22">
        <v>2</v>
      </c>
      <c r="E13" s="22">
        <v>28</v>
      </c>
      <c r="F13" s="21">
        <v>4.5</v>
      </c>
      <c r="G13" s="22">
        <f t="shared" si="0"/>
        <v>22500</v>
      </c>
    </row>
    <row r="14" spans="1:7" x14ac:dyDescent="0.25">
      <c r="A14" s="6" t="s">
        <v>434</v>
      </c>
      <c r="B14" s="21">
        <v>1</v>
      </c>
      <c r="C14" s="20" t="s">
        <v>425</v>
      </c>
      <c r="D14" s="22">
        <v>2</v>
      </c>
      <c r="E14" s="22">
        <v>28</v>
      </c>
      <c r="F14" s="21">
        <v>4.5</v>
      </c>
      <c r="G14" s="22">
        <f t="shared" si="0"/>
        <v>22500</v>
      </c>
    </row>
    <row r="15" spans="1:7" x14ac:dyDescent="0.25">
      <c r="A15" s="6" t="s">
        <v>435</v>
      </c>
      <c r="B15" s="21">
        <v>1</v>
      </c>
      <c r="C15" s="20" t="s">
        <v>427</v>
      </c>
      <c r="D15" s="22">
        <v>2</v>
      </c>
      <c r="E15" s="22">
        <v>28</v>
      </c>
      <c r="F15" s="21">
        <v>4.5</v>
      </c>
      <c r="G15" s="22">
        <f t="shared" si="0"/>
        <v>22500</v>
      </c>
    </row>
    <row r="16" spans="1:7" x14ac:dyDescent="0.25">
      <c r="A16" s="6" t="s">
        <v>436</v>
      </c>
      <c r="B16" s="21">
        <v>1</v>
      </c>
      <c r="C16" s="20" t="s">
        <v>425</v>
      </c>
      <c r="D16" s="22">
        <v>2</v>
      </c>
      <c r="E16" s="22">
        <v>28</v>
      </c>
      <c r="F16" s="21">
        <v>4.5</v>
      </c>
      <c r="G16" s="22">
        <f t="shared" si="0"/>
        <v>22500</v>
      </c>
    </row>
    <row r="17" spans="1:7" x14ac:dyDescent="0.25">
      <c r="A17" s="6" t="s">
        <v>437</v>
      </c>
      <c r="B17" s="21">
        <v>1</v>
      </c>
      <c r="C17" s="20" t="s">
        <v>427</v>
      </c>
      <c r="D17" s="22">
        <v>2</v>
      </c>
      <c r="E17" s="22">
        <v>28</v>
      </c>
      <c r="F17" s="21">
        <v>4.5</v>
      </c>
      <c r="G17" s="22">
        <f t="shared" si="0"/>
        <v>22500</v>
      </c>
    </row>
    <row r="18" spans="1:7" x14ac:dyDescent="0.25">
      <c r="A18" s="6" t="s">
        <v>438</v>
      </c>
      <c r="B18" s="21">
        <v>1</v>
      </c>
      <c r="C18" s="20" t="s">
        <v>425</v>
      </c>
      <c r="D18" s="22">
        <v>2</v>
      </c>
      <c r="E18" s="22">
        <v>28</v>
      </c>
      <c r="F18" s="21">
        <v>4.5</v>
      </c>
      <c r="G18" s="22">
        <f t="shared" si="0"/>
        <v>22500</v>
      </c>
    </row>
    <row r="19" spans="1:7" x14ac:dyDescent="0.25">
      <c r="A19" s="6" t="s">
        <v>439</v>
      </c>
      <c r="B19" s="21">
        <v>1</v>
      </c>
      <c r="C19" s="20" t="s">
        <v>427</v>
      </c>
      <c r="D19" s="22">
        <v>2</v>
      </c>
      <c r="E19" s="22">
        <v>28</v>
      </c>
      <c r="F19" s="21">
        <v>4.5</v>
      </c>
      <c r="G19" s="22">
        <f t="shared" si="0"/>
        <v>22500</v>
      </c>
    </row>
    <row r="20" spans="1:7" x14ac:dyDescent="0.25">
      <c r="A20" s="6" t="s">
        <v>440</v>
      </c>
      <c r="B20" s="21">
        <v>1</v>
      </c>
      <c r="C20" s="20" t="s">
        <v>425</v>
      </c>
      <c r="D20" s="22">
        <v>2</v>
      </c>
      <c r="E20" s="22">
        <v>28</v>
      </c>
      <c r="F20" s="21">
        <v>4.5</v>
      </c>
      <c r="G20" s="22">
        <f t="shared" si="0"/>
        <v>22500</v>
      </c>
    </row>
  </sheetData>
  <mergeCells count="1">
    <mergeCell ref="A4:G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1"/>
  <sheetViews>
    <sheetView workbookViewId="0"/>
  </sheetViews>
  <sheetFormatPr baseColWidth="10" defaultColWidth="9.140625" defaultRowHeight="15" x14ac:dyDescent="0.25"/>
  <cols>
    <col min="1" max="1" width="93" customWidth="1"/>
    <col min="2" max="14" width="15" customWidth="1"/>
  </cols>
  <sheetData>
    <row r="1" spans="1:14" ht="21" x14ac:dyDescent="0.35">
      <c r="A1" s="1" t="s">
        <v>441</v>
      </c>
    </row>
    <row r="2" spans="1:14" x14ac:dyDescent="0.25">
      <c r="A2" s="2" t="s">
        <v>442</v>
      </c>
    </row>
    <row r="4" spans="1:14" x14ac:dyDescent="0.25">
      <c r="A4" s="3" t="s">
        <v>443</v>
      </c>
      <c r="B4" s="3" t="s">
        <v>291</v>
      </c>
      <c r="C4" s="3" t="s">
        <v>292</v>
      </c>
      <c r="D4" s="3" t="s">
        <v>293</v>
      </c>
      <c r="E4" s="3" t="s">
        <v>294</v>
      </c>
      <c r="F4" s="3" t="s">
        <v>295</v>
      </c>
      <c r="G4" s="3" t="s">
        <v>296</v>
      </c>
      <c r="H4" s="3" t="s">
        <v>297</v>
      </c>
      <c r="I4" s="3" t="s">
        <v>298</v>
      </c>
      <c r="J4" s="3" t="s">
        <v>299</v>
      </c>
      <c r="K4" s="3" t="s">
        <v>300</v>
      </c>
      <c r="L4" s="3" t="s">
        <v>301</v>
      </c>
      <c r="M4" s="3" t="s">
        <v>302</v>
      </c>
      <c r="N4" s="3" t="s">
        <v>444</v>
      </c>
    </row>
    <row r="5" spans="1:14" x14ac:dyDescent="0.25">
      <c r="A5" s="48" t="s">
        <v>445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</row>
    <row r="6" spans="1:14" x14ac:dyDescent="0.25">
      <c r="A6" s="39" t="s">
        <v>446</v>
      </c>
      <c r="B6" s="40">
        <f>'Resumen Ejecutivo CMM'!F21</f>
        <v>49522500</v>
      </c>
      <c r="C6" s="40">
        <f>'Resumen Ejecutivo CMM'!F22</f>
        <v>43785000</v>
      </c>
      <c r="D6" s="40">
        <f>'Resumen Ejecutivo CMM'!F23</f>
        <v>47430000</v>
      </c>
      <c r="E6" s="40">
        <f>'Resumen Ejecutivo CMM'!F24</f>
        <v>47587500</v>
      </c>
      <c r="F6" s="40">
        <f>'Resumen Ejecutivo CMM'!F25</f>
        <v>50568750</v>
      </c>
      <c r="G6" s="40">
        <f>'Resumen Ejecutivo CMM'!F26</f>
        <v>49275000</v>
      </c>
      <c r="H6" s="40">
        <f>'Resumen Ejecutivo CMM'!F27</f>
        <v>49871250</v>
      </c>
      <c r="I6" s="40">
        <f>'Resumen Ejecutivo CMM'!F28</f>
        <v>48127500</v>
      </c>
      <c r="J6" s="40">
        <f>'Resumen Ejecutivo CMM'!F29</f>
        <v>47250000</v>
      </c>
      <c r="K6" s="40">
        <f>'Resumen Ejecutivo CMM'!F30</f>
        <v>50220000</v>
      </c>
      <c r="L6" s="40">
        <f>'Resumen Ejecutivo CMM'!F31</f>
        <v>48262500</v>
      </c>
      <c r="M6" s="40">
        <f>'Resumen Ejecutivo CMM'!F32</f>
        <v>49522500</v>
      </c>
      <c r="N6" s="41">
        <f>'Resumen Ejecutivo CMM'!F33</f>
        <v>581422500</v>
      </c>
    </row>
    <row r="7" spans="1:14" x14ac:dyDescent="0.25">
      <c r="A7" s="39" t="s">
        <v>447</v>
      </c>
      <c r="B7" s="40">
        <v>1200000</v>
      </c>
      <c r="C7" s="40">
        <v>0</v>
      </c>
      <c r="D7" s="40">
        <v>1500000</v>
      </c>
      <c r="E7" s="40">
        <v>0</v>
      </c>
      <c r="F7" s="40">
        <v>1200000</v>
      </c>
      <c r="G7" s="40">
        <v>3500000</v>
      </c>
      <c r="H7" s="40">
        <v>0</v>
      </c>
      <c r="I7" s="40">
        <v>1200000</v>
      </c>
      <c r="J7" s="40">
        <v>0</v>
      </c>
      <c r="K7" s="40">
        <v>1500000</v>
      </c>
      <c r="L7" s="40">
        <v>0</v>
      </c>
      <c r="M7" s="40">
        <v>3500000</v>
      </c>
      <c r="N7" s="41">
        <f>SUM(B7:M7)</f>
        <v>13600000</v>
      </c>
    </row>
    <row r="8" spans="1:14" x14ac:dyDescent="0.25">
      <c r="A8" s="42" t="s">
        <v>448</v>
      </c>
      <c r="B8" s="43">
        <f t="shared" ref="B8:N8" si="0">SUM(B6:B7)</f>
        <v>50722500</v>
      </c>
      <c r="C8" s="43">
        <f t="shared" si="0"/>
        <v>43785000</v>
      </c>
      <c r="D8" s="43">
        <f t="shared" si="0"/>
        <v>48930000</v>
      </c>
      <c r="E8" s="43">
        <f t="shared" si="0"/>
        <v>47587500</v>
      </c>
      <c r="F8" s="43">
        <f t="shared" si="0"/>
        <v>51768750</v>
      </c>
      <c r="G8" s="43">
        <f t="shared" si="0"/>
        <v>52775000</v>
      </c>
      <c r="H8" s="43">
        <f t="shared" si="0"/>
        <v>49871250</v>
      </c>
      <c r="I8" s="43">
        <f t="shared" si="0"/>
        <v>49327500</v>
      </c>
      <c r="J8" s="43">
        <f t="shared" si="0"/>
        <v>47250000</v>
      </c>
      <c r="K8" s="43">
        <f t="shared" si="0"/>
        <v>51720000</v>
      </c>
      <c r="L8" s="43">
        <f t="shared" si="0"/>
        <v>48262500</v>
      </c>
      <c r="M8" s="43">
        <f t="shared" si="0"/>
        <v>53022500</v>
      </c>
      <c r="N8" s="44">
        <f t="shared" si="0"/>
        <v>595022500</v>
      </c>
    </row>
    <row r="9" spans="1:14" x14ac:dyDescent="0.25">
      <c r="A9" s="48" t="s">
        <v>449</v>
      </c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</row>
    <row r="10" spans="1:14" x14ac:dyDescent="0.25">
      <c r="A10" s="39" t="s">
        <v>450</v>
      </c>
      <c r="B10" s="40">
        <v>10800000</v>
      </c>
      <c r="C10" s="40">
        <v>10200000</v>
      </c>
      <c r="D10" s="40">
        <v>10600000</v>
      </c>
      <c r="E10" s="40">
        <v>10700000</v>
      </c>
      <c r="F10" s="40">
        <v>11000000</v>
      </c>
      <c r="G10" s="40">
        <v>10900000</v>
      </c>
      <c r="H10" s="40">
        <v>10950000</v>
      </c>
      <c r="I10" s="40">
        <v>10750000</v>
      </c>
      <c r="J10" s="40">
        <v>10650000</v>
      </c>
      <c r="K10" s="40">
        <v>10950000</v>
      </c>
      <c r="L10" s="40">
        <v>10800000</v>
      </c>
      <c r="M10" s="40">
        <v>11000000</v>
      </c>
      <c r="N10" s="41">
        <f t="shared" ref="N10:N18" si="1">SUM(B10:M10)</f>
        <v>129300000</v>
      </c>
    </row>
    <row r="11" spans="1:14" x14ac:dyDescent="0.25">
      <c r="A11" s="39" t="s">
        <v>451</v>
      </c>
      <c r="B11" s="40">
        <v>850000</v>
      </c>
      <c r="C11" s="40">
        <v>850000</v>
      </c>
      <c r="D11" s="40">
        <v>850000</v>
      </c>
      <c r="E11" s="40">
        <v>850000</v>
      </c>
      <c r="F11" s="40">
        <v>900000</v>
      </c>
      <c r="G11" s="40">
        <v>900000</v>
      </c>
      <c r="H11" s="40">
        <v>900000</v>
      </c>
      <c r="I11" s="40">
        <v>850000</v>
      </c>
      <c r="J11" s="40">
        <v>850000</v>
      </c>
      <c r="K11" s="40">
        <v>900000</v>
      </c>
      <c r="L11" s="40">
        <v>850000</v>
      </c>
      <c r="M11" s="40">
        <v>900000</v>
      </c>
      <c r="N11" s="41">
        <f t="shared" si="1"/>
        <v>10450000</v>
      </c>
    </row>
    <row r="12" spans="1:14" x14ac:dyDescent="0.25">
      <c r="A12" s="39" t="s">
        <v>452</v>
      </c>
      <c r="B12" s="40">
        <v>3200000</v>
      </c>
      <c r="C12" s="40">
        <v>3200000</v>
      </c>
      <c r="D12" s="40">
        <v>3200000</v>
      </c>
      <c r="E12" s="40">
        <v>3200000</v>
      </c>
      <c r="F12" s="40">
        <v>3200000</v>
      </c>
      <c r="G12" s="40">
        <v>3200000</v>
      </c>
      <c r="H12" s="40">
        <v>3200000</v>
      </c>
      <c r="I12" s="40">
        <v>3200000</v>
      </c>
      <c r="J12" s="40">
        <v>3200000</v>
      </c>
      <c r="K12" s="40">
        <v>3200000</v>
      </c>
      <c r="L12" s="40">
        <v>3200000</v>
      </c>
      <c r="M12" s="40">
        <v>3200000</v>
      </c>
      <c r="N12" s="41">
        <f t="shared" si="1"/>
        <v>38400000</v>
      </c>
    </row>
    <row r="13" spans="1:14" x14ac:dyDescent="0.25">
      <c r="A13" s="39" t="s">
        <v>453</v>
      </c>
      <c r="B13" s="40">
        <v>1350000</v>
      </c>
      <c r="C13" s="40">
        <v>1280000</v>
      </c>
      <c r="D13" s="40">
        <v>1320000</v>
      </c>
      <c r="E13" s="40">
        <v>1340000</v>
      </c>
      <c r="F13" s="40">
        <v>1380000</v>
      </c>
      <c r="G13" s="40">
        <v>1360000</v>
      </c>
      <c r="H13" s="40">
        <v>1370000</v>
      </c>
      <c r="I13" s="40">
        <v>1340000</v>
      </c>
      <c r="J13" s="40">
        <v>1330000</v>
      </c>
      <c r="K13" s="40">
        <v>1370000</v>
      </c>
      <c r="L13" s="40">
        <v>1350000</v>
      </c>
      <c r="M13" s="40">
        <v>1380000</v>
      </c>
      <c r="N13" s="41">
        <f t="shared" si="1"/>
        <v>16170000</v>
      </c>
    </row>
    <row r="14" spans="1:14" x14ac:dyDescent="0.25">
      <c r="A14" s="39" t="s">
        <v>454</v>
      </c>
      <c r="B14" s="40">
        <v>800000</v>
      </c>
      <c r="C14" s="40">
        <v>600000</v>
      </c>
      <c r="D14" s="40">
        <v>850000</v>
      </c>
      <c r="E14" s="40">
        <v>650000</v>
      </c>
      <c r="F14" s="40">
        <v>950000</v>
      </c>
      <c r="G14" s="40">
        <v>700000</v>
      </c>
      <c r="H14" s="40">
        <v>800000</v>
      </c>
      <c r="I14" s="40">
        <v>650000</v>
      </c>
      <c r="J14" s="40">
        <v>600000</v>
      </c>
      <c r="K14" s="40">
        <v>850000</v>
      </c>
      <c r="L14" s="40">
        <v>750000</v>
      </c>
      <c r="M14" s="40">
        <v>900000</v>
      </c>
      <c r="N14" s="41">
        <f t="shared" si="1"/>
        <v>9100000</v>
      </c>
    </row>
    <row r="15" spans="1:14" x14ac:dyDescent="0.25">
      <c r="A15" s="39" t="s">
        <v>455</v>
      </c>
      <c r="B15" s="40">
        <v>550000</v>
      </c>
      <c r="C15" s="40">
        <v>520000</v>
      </c>
      <c r="D15" s="40">
        <v>540000</v>
      </c>
      <c r="E15" s="40">
        <v>530000</v>
      </c>
      <c r="F15" s="40">
        <v>560000</v>
      </c>
      <c r="G15" s="40">
        <v>550000</v>
      </c>
      <c r="H15" s="40">
        <v>550000</v>
      </c>
      <c r="I15" s="40">
        <v>530000</v>
      </c>
      <c r="J15" s="40">
        <v>530000</v>
      </c>
      <c r="K15" s="40">
        <v>560000</v>
      </c>
      <c r="L15" s="40">
        <v>540000</v>
      </c>
      <c r="M15" s="40">
        <v>570000</v>
      </c>
      <c r="N15" s="41">
        <f t="shared" si="1"/>
        <v>6530000</v>
      </c>
    </row>
    <row r="16" spans="1:14" x14ac:dyDescent="0.25">
      <c r="A16" s="39" t="s">
        <v>456</v>
      </c>
      <c r="B16" s="40">
        <v>1200000</v>
      </c>
      <c r="C16" s="40">
        <v>1000000</v>
      </c>
      <c r="D16" s="40">
        <v>1100000</v>
      </c>
      <c r="E16" s="40">
        <v>1400000</v>
      </c>
      <c r="F16" s="40">
        <v>1200000</v>
      </c>
      <c r="G16" s="40">
        <v>1100000</v>
      </c>
      <c r="H16" s="40">
        <v>1100000</v>
      </c>
      <c r="I16" s="40">
        <v>1300000</v>
      </c>
      <c r="J16" s="40">
        <v>1200000</v>
      </c>
      <c r="K16" s="40">
        <v>1100000</v>
      </c>
      <c r="L16" s="40">
        <v>1200000</v>
      </c>
      <c r="M16" s="40">
        <v>1100000</v>
      </c>
      <c r="N16" s="41">
        <f t="shared" si="1"/>
        <v>14000000</v>
      </c>
    </row>
    <row r="17" spans="1:14" x14ac:dyDescent="0.25">
      <c r="A17" s="39" t="s">
        <v>457</v>
      </c>
      <c r="B17" s="40">
        <v>600000</v>
      </c>
      <c r="C17" s="40">
        <v>450000</v>
      </c>
      <c r="D17" s="40">
        <v>540000</v>
      </c>
      <c r="E17" s="40">
        <v>530000</v>
      </c>
      <c r="F17" s="40">
        <v>610000</v>
      </c>
      <c r="G17" s="40">
        <v>500000</v>
      </c>
      <c r="H17" s="40">
        <v>480000</v>
      </c>
      <c r="I17" s="40">
        <v>680000</v>
      </c>
      <c r="J17" s="40">
        <v>390000</v>
      </c>
      <c r="K17" s="40">
        <v>470000</v>
      </c>
      <c r="L17" s="40">
        <v>710000</v>
      </c>
      <c r="M17" s="40">
        <v>400000</v>
      </c>
      <c r="N17" s="41">
        <f t="shared" si="1"/>
        <v>6360000</v>
      </c>
    </row>
    <row r="18" spans="1:14" x14ac:dyDescent="0.25">
      <c r="A18" s="39" t="s">
        <v>458</v>
      </c>
      <c r="B18" s="40">
        <v>500000</v>
      </c>
      <c r="C18" s="40">
        <v>500000</v>
      </c>
      <c r="D18" s="40">
        <v>500000</v>
      </c>
      <c r="E18" s="40">
        <v>500000</v>
      </c>
      <c r="F18" s="40">
        <v>500000</v>
      </c>
      <c r="G18" s="40">
        <v>500000</v>
      </c>
      <c r="H18" s="40">
        <v>500000</v>
      </c>
      <c r="I18" s="40">
        <v>500000</v>
      </c>
      <c r="J18" s="40">
        <v>500000</v>
      </c>
      <c r="K18" s="40">
        <v>500000</v>
      </c>
      <c r="L18" s="40">
        <v>500000</v>
      </c>
      <c r="M18" s="40">
        <v>500000</v>
      </c>
      <c r="N18" s="41">
        <f t="shared" si="1"/>
        <v>6000000</v>
      </c>
    </row>
    <row r="19" spans="1:14" x14ac:dyDescent="0.25">
      <c r="A19" s="42" t="s">
        <v>459</v>
      </c>
      <c r="B19" s="43">
        <f t="shared" ref="B19:N19" si="2">SUM(B10:B18)</f>
        <v>19850000</v>
      </c>
      <c r="C19" s="43">
        <f t="shared" si="2"/>
        <v>18600000</v>
      </c>
      <c r="D19" s="43">
        <f t="shared" si="2"/>
        <v>19500000</v>
      </c>
      <c r="E19" s="43">
        <f t="shared" si="2"/>
        <v>19700000</v>
      </c>
      <c r="F19" s="43">
        <f t="shared" si="2"/>
        <v>20300000</v>
      </c>
      <c r="G19" s="43">
        <f t="shared" si="2"/>
        <v>19710000</v>
      </c>
      <c r="H19" s="43">
        <f t="shared" si="2"/>
        <v>19850000</v>
      </c>
      <c r="I19" s="43">
        <f t="shared" si="2"/>
        <v>19800000</v>
      </c>
      <c r="J19" s="43">
        <f t="shared" si="2"/>
        <v>19250000</v>
      </c>
      <c r="K19" s="43">
        <f t="shared" si="2"/>
        <v>19900000</v>
      </c>
      <c r="L19" s="43">
        <f t="shared" si="2"/>
        <v>19900000</v>
      </c>
      <c r="M19" s="43">
        <f t="shared" si="2"/>
        <v>19950000</v>
      </c>
      <c r="N19" s="44">
        <f t="shared" si="2"/>
        <v>236310000</v>
      </c>
    </row>
    <row r="20" spans="1:14" x14ac:dyDescent="0.25">
      <c r="A20" s="42" t="s">
        <v>460</v>
      </c>
      <c r="B20" s="13">
        <f t="shared" ref="B20:N20" si="3">B8-B19</f>
        <v>30872500</v>
      </c>
      <c r="C20" s="13">
        <f t="shared" si="3"/>
        <v>25185000</v>
      </c>
      <c r="D20" s="13">
        <f t="shared" si="3"/>
        <v>29430000</v>
      </c>
      <c r="E20" s="13">
        <f t="shared" si="3"/>
        <v>27887500</v>
      </c>
      <c r="F20" s="13">
        <f t="shared" si="3"/>
        <v>31468750</v>
      </c>
      <c r="G20" s="13">
        <f t="shared" si="3"/>
        <v>33065000</v>
      </c>
      <c r="H20" s="13">
        <f t="shared" si="3"/>
        <v>30021250</v>
      </c>
      <c r="I20" s="13">
        <f t="shared" si="3"/>
        <v>29527500</v>
      </c>
      <c r="J20" s="13">
        <f t="shared" si="3"/>
        <v>28000000</v>
      </c>
      <c r="K20" s="13">
        <f t="shared" si="3"/>
        <v>31820000</v>
      </c>
      <c r="L20" s="13">
        <f t="shared" si="3"/>
        <v>28362500</v>
      </c>
      <c r="M20" s="13">
        <f t="shared" si="3"/>
        <v>33072500</v>
      </c>
      <c r="N20" s="45">
        <f t="shared" si="3"/>
        <v>358712500</v>
      </c>
    </row>
    <row r="21" spans="1:14" x14ac:dyDescent="0.25">
      <c r="A21" s="42" t="s">
        <v>461</v>
      </c>
      <c r="B21" s="13">
        <f>B19/'Resumen Ejecutivo CMM'!E21</f>
        <v>901.86278964107225</v>
      </c>
      <c r="C21" s="13">
        <f>C19/'Resumen Ejecutivo CMM'!E22</f>
        <v>955.80678314491263</v>
      </c>
      <c r="D21" s="13">
        <f>D19/'Resumen Ejecutivo CMM'!E23</f>
        <v>925.04743833017073</v>
      </c>
      <c r="E21" s="13">
        <f>E19/'Resumen Ejecutivo CMM'!E24</f>
        <v>931.44208037825058</v>
      </c>
      <c r="F21" s="13">
        <f>F19/'Resumen Ejecutivo CMM'!E25</f>
        <v>903.22580645161293</v>
      </c>
      <c r="G21" s="13">
        <f>G19/'Resumen Ejecutivo CMM'!E26</f>
        <v>900</v>
      </c>
      <c r="H21" s="13">
        <f>H19/'Resumen Ejecutivo CMM'!E27</f>
        <v>895.55605684637942</v>
      </c>
      <c r="I21" s="13">
        <f>I19/'Resumen Ejecutivo CMM'!E28</f>
        <v>925.66619915848526</v>
      </c>
      <c r="J21" s="13">
        <f>J19/'Resumen Ejecutivo CMM'!E29</f>
        <v>916.66666666666663</v>
      </c>
      <c r="K21" s="13">
        <f>K19/'Resumen Ejecutivo CMM'!E30</f>
        <v>891.57706093189961</v>
      </c>
      <c r="L21" s="13">
        <f>L19/'Resumen Ejecutivo CMM'!E31</f>
        <v>927.73892773892771</v>
      </c>
      <c r="M21" s="13">
        <f>M19/'Resumen Ejecutivo CMM'!E32</f>
        <v>906.40617900954112</v>
      </c>
      <c r="N21" s="45">
        <f>N19/'Resumen Ejecutivo CMM'!E33</f>
        <v>914.47699392438369</v>
      </c>
    </row>
  </sheetData>
  <mergeCells count="2">
    <mergeCell ref="A5:N5"/>
    <mergeCell ref="A9:N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 Ejecutivo CMM</vt:lpstr>
      <vt:lpstr>Inventario y Trazabilidad</vt:lpstr>
      <vt:lpstr>Control Lechero y Mastitis</vt:lpstr>
      <vt:lpstr>Reproducción y Sanidad</vt:lpstr>
      <vt:lpstr>Saneamiento y Agua</vt:lpstr>
      <vt:lpstr>Pastos y Alimentación</vt:lpstr>
      <vt:lpstr>Control Financiero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Moreno</cp:lastModifiedBy>
  <dcterms:created xsi:type="dcterms:W3CDTF">2026-10-24T20:51:50Z</dcterms:created>
  <dcterms:modified xsi:type="dcterms:W3CDTF">2026-10-24T21:34:56Z</dcterms:modified>
</cp:coreProperties>
</file>